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1H0T" sheetId="2" state="visible" r:id="rId4"/>
    <sheet name="2MCN" sheetId="3" state="visible" r:id="rId5"/>
    <sheet name="4KV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<sst xmlns="http://schemas.openxmlformats.org/spreadsheetml/2006/main" count="2022" uniqueCount="47">
  <si>
    <t xml:space="preserve">Interface prediction — summary by complex</t>
  </si>
  <si>
    <t xml:space="preserve">Per-residue agreement between the model's predicted interface (0.5 cut-off) and the experimental contact residues, for the three interpretability example complexes. See each complex's own sheet for the full residue list.</t>
  </si>
  <si>
    <t xml:space="preserve">Complex</t>
  </si>
  <si>
    <t xml:space="preserve">Residues modelled</t>
  </si>
  <si>
    <t xml:space="preserve">Experimental interface residues</t>
  </si>
  <si>
    <t xml:space="preserve">Predicted interface residues (&gt;0.5)</t>
  </si>
  <si>
    <t xml:space="preserve">Residues in agreement</t>
  </si>
  <si>
    <t xml:space="preserve">Agreement (%)</t>
  </si>
  <si>
    <t xml:space="preserve">1H0T</t>
  </si>
  <si>
    <t xml:space="preserve">2MCN</t>
  </si>
  <si>
    <t xml:space="preserve">4KVG</t>
  </si>
  <si>
    <t xml:space="preserve">All three</t>
  </si>
  <si>
    <t xml:space="preserve">Complex 1H0T — per-residue interface predictions</t>
  </si>
  <si>
    <t xml:space="preserve">Predicted probability is the model's per-residue interface score (0–1). Experimental interface: 1 = contact residue in the crystal structure, 0 = not. Predicted call applies a 0.5 cut-off; Agreement compares it to the experiment.</t>
  </si>
  <si>
    <t xml:space="preserve">Protein</t>
  </si>
  <si>
    <t xml:space="preserve">Chain</t>
  </si>
  <si>
    <t xml:space="preserve">Residue #</t>
  </si>
  <si>
    <t xml:space="preserve">Amino acid</t>
  </si>
  <si>
    <t xml:space="preserve">Predicted interface prob.</t>
  </si>
  <si>
    <t xml:space="preserve">Experimental interface</t>
  </si>
  <si>
    <t xml:space="preserve">Predicted call (&gt;0.5)</t>
  </si>
  <si>
    <t xml:space="preserve">Agreement</t>
  </si>
  <si>
    <t xml:space="preserve">receptor</t>
  </si>
  <si>
    <t xml:space="preserve">A</t>
  </si>
  <si>
    <t xml:space="preserve">V</t>
  </si>
  <si>
    <t xml:space="preserve">D</t>
  </si>
  <si>
    <t xml:space="preserve">N</t>
  </si>
  <si>
    <t xml:space="preserve">K</t>
  </si>
  <si>
    <t xml:space="preserve">F</t>
  </si>
  <si>
    <t xml:space="preserve">E</t>
  </si>
  <si>
    <t xml:space="preserve">Q</t>
  </si>
  <si>
    <t xml:space="preserve">Y</t>
  </si>
  <si>
    <t xml:space="preserve">I</t>
  </si>
  <si>
    <t xml:space="preserve">L</t>
  </si>
  <si>
    <t xml:space="preserve">H</t>
  </si>
  <si>
    <t xml:space="preserve">P</t>
  </si>
  <si>
    <t xml:space="preserve">R</t>
  </si>
  <si>
    <t xml:space="preserve">S</t>
  </si>
  <si>
    <t xml:space="preserve">ligand</t>
  </si>
  <si>
    <t xml:space="preserve">B</t>
  </si>
  <si>
    <t xml:space="preserve">G</t>
  </si>
  <si>
    <t xml:space="preserve">T</t>
  </si>
  <si>
    <t xml:space="preserve">W</t>
  </si>
  <si>
    <t xml:space="preserve">Complex 2MCN — per-residue interface predictions</t>
  </si>
  <si>
    <t xml:space="preserve">M</t>
  </si>
  <si>
    <t xml:space="preserve">Complex 4KVG — per-residue interface predictions</t>
  </si>
  <si>
    <t xml:space="preserve">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</si>
</sst>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Times New Roman"/>
      <family val="0"/>
      <charset val="1"/>
    </font>
    <font>
      <i val="true"/>
      <sz val="9"/>
      <color rgb="FF595959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n">
        <v>116</v>
      </c>
      <c r="C5" s="4" t="n">
        <f aca="false">SUM(1H0T!F5:F120)</f>
        <v>56</v>
      </c>
      <c r="D5" s="4" t="n">
        <f aca="false">SUM(1H0T!G5:G120)</f>
        <v>25</v>
      </c>
      <c r="E5" s="4" t="n">
        <f aca="false">COUNTIF(1H0T!H5:H120,"match")</f>
        <v>81</v>
      </c>
      <c r="F5" s="5" t="n">
        <f aca="false">E5/B5</f>
        <v>0.698275862068966</v>
      </c>
    </row>
    <row r="6" customFormat="false" ht="15" hidden="false" customHeight="false" outlineLevel="0" collapsed="false">
      <c r="A6" s="4" t="s">
        <v>9</v>
      </c>
      <c r="B6" s="4" t="n">
        <v>133</v>
      </c>
      <c r="C6" s="4" t="n">
        <f aca="false">SUM(2MCN!F5:F137)</f>
        <v>44</v>
      </c>
      <c r="D6" s="4" t="n">
        <f aca="false">SUM(2MCN!G5:G137)</f>
        <v>34</v>
      </c>
      <c r="E6" s="4" t="n">
        <f aca="false">COUNTIF(2MCN!H5:H137,"match")</f>
        <v>121</v>
      </c>
      <c r="F6" s="5" t="n">
        <f aca="false">E6/B6</f>
        <v>0.909774436090226</v>
      </c>
    </row>
    <row r="7" customFormat="false" ht="15" hidden="false" customHeight="false" outlineLevel="0" collapsed="false">
      <c r="A7" s="4" t="s">
        <v>10</v>
      </c>
      <c r="B7" s="4" t="n">
        <v>411</v>
      </c>
      <c r="C7" s="4" t="n">
        <f aca="false">SUM(4KVG!F5:F415)</f>
        <v>27</v>
      </c>
      <c r="D7" s="4" t="n">
        <f aca="false">SUM(4KVG!G5:G415)</f>
        <v>29</v>
      </c>
      <c r="E7" s="4" t="n">
        <f aca="false">COUNTIF(4KVG!H5:H415,"match")</f>
        <v>401</v>
      </c>
      <c r="F7" s="5" t="n">
        <f aca="false">E7/B7</f>
        <v>0.975669099756691</v>
      </c>
    </row>
    <row r="8" customFormat="false" ht="15" hidden="false" customHeight="false" outlineLevel="0" collapsed="false">
      <c r="A8" s="6" t="s">
        <v>11</v>
      </c>
      <c r="B8" s="6" t="n">
        <f aca="false">SUM(B5:B7)</f>
        <v>660</v>
      </c>
      <c r="C8" s="6" t="n">
        <f aca="false">SUM(C5:C7)</f>
        <v>127</v>
      </c>
      <c r="D8" s="6" t="n">
        <f aca="false">SUM(D5:D7)</f>
        <v>88</v>
      </c>
      <c r="E8" s="6" t="n">
        <f aca="false">SUM(E5:E7)</f>
        <v>603</v>
      </c>
      <c r="F8" s="7" t="n">
        <f aca="false">E8/B8</f>
        <v>0.913636363636364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4" min="3" style="0" width="11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12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13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</row>
    <row r="5" customFormat="false" ht="15" hidden="false" customHeight="false" outlineLevel="0" collapsed="false">
      <c r="A5" s="8" t="s">
        <v>22</v>
      </c>
      <c r="B5" s="4" t="s">
        <v>23</v>
      </c>
      <c r="C5" s="4" t="n">
        <v>1</v>
      </c>
      <c r="D5" s="4" t="s">
        <v>24</v>
      </c>
      <c r="E5" s="9" t="n">
        <v>0.138</v>
      </c>
      <c r="F5" s="4" t="n">
        <v>0</v>
      </c>
      <c r="G5" s="4" t="n">
        <f aca="false">IF(E5&gt;0.5,1,0)</f>
        <v>0</v>
      </c>
      <c r="H5" s="4" t="str">
        <f aca="false">IF(G5=F5,"match","mismatch")</f>
        <v>match</v>
      </c>
    </row>
    <row r="6" customFormat="false" ht="15" hidden="false" customHeight="false" outlineLevel="0" collapsed="false">
      <c r="A6" s="8" t="s">
        <v>22</v>
      </c>
      <c r="B6" s="4" t="s">
        <v>23</v>
      </c>
      <c r="C6" s="4" t="n">
        <v>2</v>
      </c>
      <c r="D6" s="4" t="s">
        <v>25</v>
      </c>
      <c r="E6" s="9" t="n">
        <v>0.191</v>
      </c>
      <c r="F6" s="4" t="n">
        <v>0</v>
      </c>
      <c r="G6" s="4" t="n">
        <f aca="false">IF(E6&gt;0.5,1,0)</f>
        <v>0</v>
      </c>
      <c r="H6" s="4" t="str">
        <f aca="false">IF(G6=F6,"match","mismatch")</f>
        <v>match</v>
      </c>
    </row>
    <row r="7" customFormat="false" ht="15" hidden="false" customHeight="false" outlineLevel="0" collapsed="false">
      <c r="A7" s="8" t="s">
        <v>22</v>
      </c>
      <c r="B7" s="4" t="s">
        <v>23</v>
      </c>
      <c r="C7" s="4" t="n">
        <v>3</v>
      </c>
      <c r="D7" s="4" t="s">
        <v>26</v>
      </c>
      <c r="E7" s="9" t="n">
        <v>0.446</v>
      </c>
      <c r="F7" s="4" t="n">
        <v>0</v>
      </c>
      <c r="G7" s="4" t="n">
        <f aca="false">IF(E7&gt;0.5,1,0)</f>
        <v>0</v>
      </c>
      <c r="H7" s="4" t="str">
        <f aca="false">IF(G7=F7,"match","mismatch")</f>
        <v>match</v>
      </c>
    </row>
    <row r="8" customFormat="false" ht="15" hidden="false" customHeight="false" outlineLevel="0" collapsed="false">
      <c r="A8" s="8" t="s">
        <v>22</v>
      </c>
      <c r="B8" s="4" t="s">
        <v>23</v>
      </c>
      <c r="C8" s="4" t="n">
        <v>4</v>
      </c>
      <c r="D8" s="4" t="s">
        <v>27</v>
      </c>
      <c r="E8" s="9" t="n">
        <v>0.514</v>
      </c>
      <c r="F8" s="4" t="n">
        <v>0</v>
      </c>
      <c r="G8" s="4" t="n">
        <f aca="false">IF(E8&gt;0.5,1,0)</f>
        <v>1</v>
      </c>
      <c r="H8" s="4" t="str">
        <f aca="false">IF(G8=F8,"match","mismatch")</f>
        <v>mismatch</v>
      </c>
    </row>
    <row r="9" customFormat="false" ht="15" hidden="false" customHeight="false" outlineLevel="0" collapsed="false">
      <c r="A9" s="8" t="s">
        <v>22</v>
      </c>
      <c r="B9" s="4" t="s">
        <v>23</v>
      </c>
      <c r="C9" s="4" t="n">
        <v>5</v>
      </c>
      <c r="D9" s="4" t="s">
        <v>28</v>
      </c>
      <c r="E9" s="9" t="n">
        <v>0.697</v>
      </c>
      <c r="F9" s="4" t="n">
        <v>0</v>
      </c>
      <c r="G9" s="4" t="n">
        <f aca="false">IF(E9&gt;0.5,1,0)</f>
        <v>1</v>
      </c>
      <c r="H9" s="4" t="str">
        <f aca="false">IF(G9=F9,"match","mismatch")</f>
        <v>mismatch</v>
      </c>
    </row>
    <row r="10" customFormat="false" ht="15" hidden="false" customHeight="false" outlineLevel="0" collapsed="false">
      <c r="A10" s="8" t="s">
        <v>22</v>
      </c>
      <c r="B10" s="4" t="s">
        <v>23</v>
      </c>
      <c r="C10" s="4" t="n">
        <v>6</v>
      </c>
      <c r="D10" s="4" t="s">
        <v>26</v>
      </c>
      <c r="E10" s="9" t="n">
        <v>0.753</v>
      </c>
      <c r="F10" s="4" t="n">
        <v>1</v>
      </c>
      <c r="G10" s="4" t="n">
        <f aca="false">IF(E10&gt;0.5,1,0)</f>
        <v>1</v>
      </c>
      <c r="H10" s="4" t="str">
        <f aca="false">IF(G10=F10,"match","mismatch")</f>
        <v>match</v>
      </c>
    </row>
    <row r="11" customFormat="false" ht="15" hidden="false" customHeight="false" outlineLevel="0" collapsed="false">
      <c r="A11" s="8" t="s">
        <v>22</v>
      </c>
      <c r="B11" s="4" t="s">
        <v>23</v>
      </c>
      <c r="C11" s="4" t="n">
        <v>7</v>
      </c>
      <c r="D11" s="4" t="s">
        <v>27</v>
      </c>
      <c r="E11" s="9" t="n">
        <v>0.18</v>
      </c>
      <c r="F11" s="4" t="n">
        <v>1</v>
      </c>
      <c r="G11" s="4" t="n">
        <f aca="false">IF(E11&gt;0.5,1,0)</f>
        <v>0</v>
      </c>
      <c r="H11" s="4" t="str">
        <f aca="false">IF(G11=F11,"match","mismatch")</f>
        <v>mismatch</v>
      </c>
    </row>
    <row r="12" customFormat="false" ht="15" hidden="false" customHeight="false" outlineLevel="0" collapsed="false">
      <c r="A12" s="8" t="s">
        <v>22</v>
      </c>
      <c r="B12" s="4" t="s">
        <v>23</v>
      </c>
      <c r="C12" s="4" t="n">
        <v>8</v>
      </c>
      <c r="D12" s="4" t="s">
        <v>29</v>
      </c>
      <c r="E12" s="9" t="n">
        <v>0.082</v>
      </c>
      <c r="F12" s="4" t="n">
        <v>0</v>
      </c>
      <c r="G12" s="4" t="n">
        <f aca="false">IF(E12&gt;0.5,1,0)</f>
        <v>0</v>
      </c>
      <c r="H12" s="4" t="str">
        <f aca="false">IF(G12=F12,"match","mismatch")</f>
        <v>match</v>
      </c>
    </row>
    <row r="13" customFormat="false" ht="15" hidden="false" customHeight="false" outlineLevel="0" collapsed="false">
      <c r="A13" s="8" t="s">
        <v>22</v>
      </c>
      <c r="B13" s="4" t="s">
        <v>23</v>
      </c>
      <c r="C13" s="4" t="n">
        <v>9</v>
      </c>
      <c r="D13" s="4" t="s">
        <v>30</v>
      </c>
      <c r="E13" s="9" t="n">
        <v>0.751</v>
      </c>
      <c r="F13" s="4" t="n">
        <v>1</v>
      </c>
      <c r="G13" s="4" t="n">
        <f aca="false">IF(E13&gt;0.5,1,0)</f>
        <v>1</v>
      </c>
      <c r="H13" s="4" t="str">
        <f aca="false">IF(G13=F13,"match","mismatch")</f>
        <v>match</v>
      </c>
    </row>
    <row r="14" customFormat="false" ht="15" hidden="false" customHeight="false" outlineLevel="0" collapsed="false">
      <c r="A14" s="8" t="s">
        <v>22</v>
      </c>
      <c r="B14" s="4" t="s">
        <v>23</v>
      </c>
      <c r="C14" s="4" t="n">
        <v>10</v>
      </c>
      <c r="D14" s="4" t="s">
        <v>30</v>
      </c>
      <c r="E14" s="9" t="n">
        <v>0.679</v>
      </c>
      <c r="F14" s="4" t="n">
        <v>1</v>
      </c>
      <c r="G14" s="4" t="n">
        <f aca="false">IF(E14&gt;0.5,1,0)</f>
        <v>1</v>
      </c>
      <c r="H14" s="4" t="str">
        <f aca="false">IF(G14=F14,"match","mismatch")</f>
        <v>match</v>
      </c>
    </row>
    <row r="15" customFormat="false" ht="15" hidden="false" customHeight="false" outlineLevel="0" collapsed="false">
      <c r="A15" s="8" t="s">
        <v>22</v>
      </c>
      <c r="B15" s="4" t="s">
        <v>23</v>
      </c>
      <c r="C15" s="4" t="n">
        <v>11</v>
      </c>
      <c r="D15" s="4" t="s">
        <v>26</v>
      </c>
      <c r="E15" s="9" t="n">
        <v>0.802</v>
      </c>
      <c r="F15" s="4" t="n">
        <v>1</v>
      </c>
      <c r="G15" s="4" t="n">
        <f aca="false">IF(E15&gt;0.5,1,0)</f>
        <v>1</v>
      </c>
      <c r="H15" s="4" t="str">
        <f aca="false">IF(G15=F15,"match","mismatch")</f>
        <v>match</v>
      </c>
    </row>
    <row r="16" customFormat="false" ht="15" hidden="false" customHeight="false" outlineLevel="0" collapsed="false">
      <c r="A16" s="8" t="s">
        <v>22</v>
      </c>
      <c r="B16" s="4" t="s">
        <v>23</v>
      </c>
      <c r="C16" s="4" t="n">
        <v>12</v>
      </c>
      <c r="D16" s="4" t="s">
        <v>23</v>
      </c>
      <c r="E16" s="9" t="n">
        <v>0.102</v>
      </c>
      <c r="F16" s="4" t="n">
        <v>1</v>
      </c>
      <c r="G16" s="4" t="n">
        <f aca="false">IF(E16&gt;0.5,1,0)</f>
        <v>0</v>
      </c>
      <c r="H16" s="4" t="str">
        <f aca="false">IF(G16=F16,"match","mismatch")</f>
        <v>mismatch</v>
      </c>
    </row>
    <row r="17" customFormat="false" ht="15" hidden="false" customHeight="false" outlineLevel="0" collapsed="false">
      <c r="A17" s="8" t="s">
        <v>22</v>
      </c>
      <c r="B17" s="4" t="s">
        <v>23</v>
      </c>
      <c r="C17" s="4" t="n">
        <v>13</v>
      </c>
      <c r="D17" s="4" t="s">
        <v>28</v>
      </c>
      <c r="E17" s="9" t="n">
        <v>0.776</v>
      </c>
      <c r="F17" s="4" t="n">
        <v>1</v>
      </c>
      <c r="G17" s="4" t="n">
        <f aca="false">IF(E17&gt;0.5,1,0)</f>
        <v>1</v>
      </c>
      <c r="H17" s="4" t="str">
        <f aca="false">IF(G17=F17,"match","mismatch")</f>
        <v>match</v>
      </c>
    </row>
    <row r="18" customFormat="false" ht="15" hidden="false" customHeight="false" outlineLevel="0" collapsed="false">
      <c r="A18" s="8" t="s">
        <v>22</v>
      </c>
      <c r="B18" s="4" t="s">
        <v>23</v>
      </c>
      <c r="C18" s="4" t="n">
        <v>14</v>
      </c>
      <c r="D18" s="4" t="s">
        <v>31</v>
      </c>
      <c r="E18" s="9" t="n">
        <v>0.892</v>
      </c>
      <c r="F18" s="4" t="n">
        <v>1</v>
      </c>
      <c r="G18" s="4" t="n">
        <f aca="false">IF(E18&gt;0.5,1,0)</f>
        <v>1</v>
      </c>
      <c r="H18" s="4" t="str">
        <f aca="false">IF(G18=F18,"match","mismatch")</f>
        <v>match</v>
      </c>
    </row>
    <row r="19" customFormat="false" ht="15" hidden="false" customHeight="false" outlineLevel="0" collapsed="false">
      <c r="A19" s="8" t="s">
        <v>22</v>
      </c>
      <c r="B19" s="4" t="s">
        <v>23</v>
      </c>
      <c r="C19" s="4" t="n">
        <v>15</v>
      </c>
      <c r="D19" s="4" t="s">
        <v>29</v>
      </c>
      <c r="E19" s="9" t="n">
        <v>0.141</v>
      </c>
      <c r="F19" s="4" t="n">
        <v>1</v>
      </c>
      <c r="G19" s="4" t="n">
        <f aca="false">IF(E19&gt;0.5,1,0)</f>
        <v>0</v>
      </c>
      <c r="H19" s="4" t="str">
        <f aca="false">IF(G19=F19,"match","mismatch")</f>
        <v>mismatch</v>
      </c>
    </row>
    <row r="20" customFormat="false" ht="15" hidden="false" customHeight="false" outlineLevel="0" collapsed="false">
      <c r="A20" s="8" t="s">
        <v>22</v>
      </c>
      <c r="B20" s="4" t="s">
        <v>23</v>
      </c>
      <c r="C20" s="4" t="n">
        <v>16</v>
      </c>
      <c r="D20" s="4" t="s">
        <v>32</v>
      </c>
      <c r="E20" s="9" t="n">
        <v>0.111</v>
      </c>
      <c r="F20" s="4" t="n">
        <v>1</v>
      </c>
      <c r="G20" s="4" t="n">
        <f aca="false">IF(E20&gt;0.5,1,0)</f>
        <v>0</v>
      </c>
      <c r="H20" s="4" t="str">
        <f aca="false">IF(G20=F20,"match","mismatch")</f>
        <v>mismatch</v>
      </c>
    </row>
    <row r="21" customFormat="false" ht="15" hidden="false" customHeight="false" outlineLevel="0" collapsed="false">
      <c r="A21" s="8" t="s">
        <v>22</v>
      </c>
      <c r="B21" s="4" t="s">
        <v>23</v>
      </c>
      <c r="C21" s="4" t="n">
        <v>17</v>
      </c>
      <c r="D21" s="4" t="s">
        <v>33</v>
      </c>
      <c r="E21" s="9" t="n">
        <v>0.826</v>
      </c>
      <c r="F21" s="4" t="n">
        <v>1</v>
      </c>
      <c r="G21" s="4" t="n">
        <f aca="false">IF(E21&gt;0.5,1,0)</f>
        <v>1</v>
      </c>
      <c r="H21" s="4" t="str">
        <f aca="false">IF(G21=F21,"match","mismatch")</f>
        <v>match</v>
      </c>
    </row>
    <row r="22" customFormat="false" ht="15" hidden="false" customHeight="false" outlineLevel="0" collapsed="false">
      <c r="A22" s="8" t="s">
        <v>22</v>
      </c>
      <c r="B22" s="4" t="s">
        <v>23</v>
      </c>
      <c r="C22" s="4" t="n">
        <v>18</v>
      </c>
      <c r="D22" s="4" t="s">
        <v>34</v>
      </c>
      <c r="E22" s="9" t="n">
        <v>0.763</v>
      </c>
      <c r="F22" s="4" t="n">
        <v>1</v>
      </c>
      <c r="G22" s="4" t="n">
        <f aca="false">IF(E22&gt;0.5,1,0)</f>
        <v>1</v>
      </c>
      <c r="H22" s="4" t="str">
        <f aca="false">IF(G22=F22,"match","mismatch")</f>
        <v>match</v>
      </c>
    </row>
    <row r="23" customFormat="false" ht="15" hidden="false" customHeight="false" outlineLevel="0" collapsed="false">
      <c r="A23" s="8" t="s">
        <v>22</v>
      </c>
      <c r="B23" s="4" t="s">
        <v>23</v>
      </c>
      <c r="C23" s="4" t="n">
        <v>19</v>
      </c>
      <c r="D23" s="4" t="s">
        <v>33</v>
      </c>
      <c r="E23" s="9" t="n">
        <v>0.032</v>
      </c>
      <c r="F23" s="4" t="n">
        <v>1</v>
      </c>
      <c r="G23" s="4" t="n">
        <f aca="false">IF(E23&gt;0.5,1,0)</f>
        <v>0</v>
      </c>
      <c r="H23" s="4" t="str">
        <f aca="false">IF(G23=F23,"match","mismatch")</f>
        <v>mismatch</v>
      </c>
    </row>
    <row r="24" customFormat="false" ht="15" hidden="false" customHeight="false" outlineLevel="0" collapsed="false">
      <c r="A24" s="8" t="s">
        <v>22</v>
      </c>
      <c r="B24" s="4" t="s">
        <v>23</v>
      </c>
      <c r="C24" s="4" t="n">
        <v>20</v>
      </c>
      <c r="D24" s="4" t="s">
        <v>35</v>
      </c>
      <c r="E24" s="9" t="n">
        <v>0.043</v>
      </c>
      <c r="F24" s="4" t="n">
        <v>1</v>
      </c>
      <c r="G24" s="4" t="n">
        <f aca="false">IF(E24&gt;0.5,1,0)</f>
        <v>0</v>
      </c>
      <c r="H24" s="4" t="str">
        <f aca="false">IF(G24=F24,"match","mismatch")</f>
        <v>mismatch</v>
      </c>
    </row>
    <row r="25" customFormat="false" ht="15" hidden="false" customHeight="false" outlineLevel="0" collapsed="false">
      <c r="A25" s="8" t="s">
        <v>22</v>
      </c>
      <c r="B25" s="4" t="s">
        <v>23</v>
      </c>
      <c r="C25" s="4" t="n">
        <v>21</v>
      </c>
      <c r="D25" s="4" t="s">
        <v>26</v>
      </c>
      <c r="E25" s="9" t="n">
        <v>0.035</v>
      </c>
      <c r="F25" s="4" t="n">
        <v>0</v>
      </c>
      <c r="G25" s="4" t="n">
        <f aca="false">IF(E25&gt;0.5,1,0)</f>
        <v>0</v>
      </c>
      <c r="H25" s="4" t="str">
        <f aca="false">IF(G25=F25,"match","mismatch")</f>
        <v>match</v>
      </c>
    </row>
    <row r="26" customFormat="false" ht="15" hidden="false" customHeight="false" outlineLevel="0" collapsed="false">
      <c r="A26" s="8" t="s">
        <v>22</v>
      </c>
      <c r="B26" s="4" t="s">
        <v>23</v>
      </c>
      <c r="C26" s="4" t="n">
        <v>22</v>
      </c>
      <c r="D26" s="4" t="s">
        <v>33</v>
      </c>
      <c r="E26" s="9" t="n">
        <v>0.021</v>
      </c>
      <c r="F26" s="4" t="n">
        <v>1</v>
      </c>
      <c r="G26" s="4" t="n">
        <f aca="false">IF(E26&gt;0.5,1,0)</f>
        <v>0</v>
      </c>
      <c r="H26" s="4" t="str">
        <f aca="false">IF(G26=F26,"match","mismatch")</f>
        <v>mismatch</v>
      </c>
    </row>
    <row r="27" customFormat="false" ht="15" hidden="false" customHeight="false" outlineLevel="0" collapsed="false">
      <c r="A27" s="8" t="s">
        <v>22</v>
      </c>
      <c r="B27" s="4" t="s">
        <v>23</v>
      </c>
      <c r="C27" s="4" t="n">
        <v>23</v>
      </c>
      <c r="D27" s="4" t="s">
        <v>26</v>
      </c>
      <c r="E27" s="9" t="n">
        <v>0.012</v>
      </c>
      <c r="F27" s="4" t="n">
        <v>1</v>
      </c>
      <c r="G27" s="4" t="n">
        <f aca="false">IF(E27&gt;0.5,1,0)</f>
        <v>0</v>
      </c>
      <c r="H27" s="4" t="str">
        <f aca="false">IF(G27=F27,"match","mismatch")</f>
        <v>mismatch</v>
      </c>
    </row>
    <row r="28" customFormat="false" ht="15" hidden="false" customHeight="false" outlineLevel="0" collapsed="false">
      <c r="A28" s="8" t="s">
        <v>22</v>
      </c>
      <c r="B28" s="4" t="s">
        <v>23</v>
      </c>
      <c r="C28" s="4" t="n">
        <v>24</v>
      </c>
      <c r="D28" s="4" t="s">
        <v>29</v>
      </c>
      <c r="E28" s="9" t="n">
        <v>0.047</v>
      </c>
      <c r="F28" s="4" t="n">
        <v>1</v>
      </c>
      <c r="G28" s="4" t="n">
        <f aca="false">IF(E28&gt;0.5,1,0)</f>
        <v>0</v>
      </c>
      <c r="H28" s="4" t="str">
        <f aca="false">IF(G28=F28,"match","mismatch")</f>
        <v>mismatch</v>
      </c>
    </row>
    <row r="29" customFormat="false" ht="15" hidden="false" customHeight="false" outlineLevel="0" collapsed="false">
      <c r="A29" s="8" t="s">
        <v>22</v>
      </c>
      <c r="B29" s="4" t="s">
        <v>23</v>
      </c>
      <c r="C29" s="4" t="n">
        <v>25</v>
      </c>
      <c r="D29" s="4" t="s">
        <v>29</v>
      </c>
      <c r="E29" s="9" t="n">
        <v>0.038</v>
      </c>
      <c r="F29" s="4" t="n">
        <v>0</v>
      </c>
      <c r="G29" s="4" t="n">
        <f aca="false">IF(E29&gt;0.5,1,0)</f>
        <v>0</v>
      </c>
      <c r="H29" s="4" t="str">
        <f aca="false">IF(G29=F29,"match","mismatch")</f>
        <v>match</v>
      </c>
    </row>
    <row r="30" customFormat="false" ht="15" hidden="false" customHeight="false" outlineLevel="0" collapsed="false">
      <c r="A30" s="8" t="s">
        <v>22</v>
      </c>
      <c r="B30" s="4" t="s">
        <v>23</v>
      </c>
      <c r="C30" s="4" t="n">
        <v>26</v>
      </c>
      <c r="D30" s="4" t="s">
        <v>30</v>
      </c>
      <c r="E30" s="9" t="n">
        <v>0.086</v>
      </c>
      <c r="F30" s="4" t="n">
        <v>0</v>
      </c>
      <c r="G30" s="4" t="n">
        <f aca="false">IF(E30&gt;0.5,1,0)</f>
        <v>0</v>
      </c>
      <c r="H30" s="4" t="str">
        <f aca="false">IF(G30=F30,"match","mismatch")</f>
        <v>match</v>
      </c>
    </row>
    <row r="31" customFormat="false" ht="15" hidden="false" customHeight="false" outlineLevel="0" collapsed="false">
      <c r="A31" s="8" t="s">
        <v>22</v>
      </c>
      <c r="B31" s="4" t="s">
        <v>23</v>
      </c>
      <c r="C31" s="4" t="n">
        <v>27</v>
      </c>
      <c r="D31" s="4" t="s">
        <v>36</v>
      </c>
      <c r="E31" s="9" t="n">
        <v>0.812</v>
      </c>
      <c r="F31" s="4" t="n">
        <v>1</v>
      </c>
      <c r="G31" s="4" t="n">
        <f aca="false">IF(E31&gt;0.5,1,0)</f>
        <v>1</v>
      </c>
      <c r="H31" s="4" t="str">
        <f aca="false">IF(G31=F31,"match","mismatch")</f>
        <v>match</v>
      </c>
    </row>
    <row r="32" customFormat="false" ht="15" hidden="false" customHeight="false" outlineLevel="0" collapsed="false">
      <c r="A32" s="8" t="s">
        <v>22</v>
      </c>
      <c r="B32" s="4" t="s">
        <v>23</v>
      </c>
      <c r="C32" s="4" t="n">
        <v>28</v>
      </c>
      <c r="D32" s="4" t="s">
        <v>26</v>
      </c>
      <c r="E32" s="9" t="n">
        <v>0.892</v>
      </c>
      <c r="F32" s="4" t="n">
        <v>1</v>
      </c>
      <c r="G32" s="4" t="n">
        <f aca="false">IF(E32&gt;0.5,1,0)</f>
        <v>1</v>
      </c>
      <c r="H32" s="4" t="str">
        <f aca="false">IF(G32=F32,"match","mismatch")</f>
        <v>match</v>
      </c>
    </row>
    <row r="33" customFormat="false" ht="15" hidden="false" customHeight="false" outlineLevel="0" collapsed="false">
      <c r="A33" s="8" t="s">
        <v>22</v>
      </c>
      <c r="B33" s="4" t="s">
        <v>23</v>
      </c>
      <c r="C33" s="4" t="n">
        <v>29</v>
      </c>
      <c r="D33" s="4" t="s">
        <v>23</v>
      </c>
      <c r="E33" s="9" t="n">
        <v>0.11</v>
      </c>
      <c r="F33" s="4" t="n">
        <v>0</v>
      </c>
      <c r="G33" s="4" t="n">
        <f aca="false">IF(E33&gt;0.5,1,0)</f>
        <v>0</v>
      </c>
      <c r="H33" s="4" t="str">
        <f aca="false">IF(G33=F33,"match","mismatch")</f>
        <v>match</v>
      </c>
    </row>
    <row r="34" customFormat="false" ht="15" hidden="false" customHeight="false" outlineLevel="0" collapsed="false">
      <c r="A34" s="8" t="s">
        <v>22</v>
      </c>
      <c r="B34" s="4" t="s">
        <v>23</v>
      </c>
      <c r="C34" s="4" t="n">
        <v>30</v>
      </c>
      <c r="D34" s="4" t="s">
        <v>28</v>
      </c>
      <c r="E34" s="9" t="n">
        <v>0.436</v>
      </c>
      <c r="F34" s="4" t="n">
        <v>1</v>
      </c>
      <c r="G34" s="4" t="n">
        <f aca="false">IF(E34&gt;0.5,1,0)</f>
        <v>0</v>
      </c>
      <c r="H34" s="4" t="str">
        <f aca="false">IF(G34=F34,"match","mismatch")</f>
        <v>mismatch</v>
      </c>
    </row>
    <row r="35" customFormat="false" ht="15" hidden="false" customHeight="false" outlineLevel="0" collapsed="false">
      <c r="A35" s="8" t="s">
        <v>22</v>
      </c>
      <c r="B35" s="4" t="s">
        <v>23</v>
      </c>
      <c r="C35" s="4" t="n">
        <v>31</v>
      </c>
      <c r="D35" s="4" t="s">
        <v>32</v>
      </c>
      <c r="E35" s="9" t="n">
        <v>0.917</v>
      </c>
      <c r="F35" s="4" t="n">
        <v>1</v>
      </c>
      <c r="G35" s="4" t="n">
        <f aca="false">IF(E35&gt;0.5,1,0)</f>
        <v>1</v>
      </c>
      <c r="H35" s="4" t="str">
        <f aca="false">IF(G35=F35,"match","mismatch")</f>
        <v>match</v>
      </c>
    </row>
    <row r="36" customFormat="false" ht="15" hidden="false" customHeight="false" outlineLevel="0" collapsed="false">
      <c r="A36" s="8" t="s">
        <v>22</v>
      </c>
      <c r="B36" s="4" t="s">
        <v>23</v>
      </c>
      <c r="C36" s="4" t="n">
        <v>32</v>
      </c>
      <c r="D36" s="4" t="s">
        <v>30</v>
      </c>
      <c r="E36" s="9" t="n">
        <v>0.843</v>
      </c>
      <c r="F36" s="4" t="n">
        <v>1</v>
      </c>
      <c r="G36" s="4" t="n">
        <f aca="false">IF(E36&gt;0.5,1,0)</f>
        <v>1</v>
      </c>
      <c r="H36" s="4" t="str">
        <f aca="false">IF(G36=F36,"match","mismatch")</f>
        <v>match</v>
      </c>
    </row>
    <row r="37" customFormat="false" ht="15" hidden="false" customHeight="false" outlineLevel="0" collapsed="false">
      <c r="A37" s="8" t="s">
        <v>22</v>
      </c>
      <c r="B37" s="4" t="s">
        <v>23</v>
      </c>
      <c r="C37" s="4" t="n">
        <v>33</v>
      </c>
      <c r="D37" s="4" t="s">
        <v>37</v>
      </c>
      <c r="E37" s="9" t="n">
        <v>0.142</v>
      </c>
      <c r="F37" s="4" t="n">
        <v>1</v>
      </c>
      <c r="G37" s="4" t="n">
        <f aca="false">IF(E37&gt;0.5,1,0)</f>
        <v>0</v>
      </c>
      <c r="H37" s="4" t="str">
        <f aca="false">IF(G37=F37,"match","mismatch")</f>
        <v>mismatch</v>
      </c>
    </row>
    <row r="38" customFormat="false" ht="15" hidden="false" customHeight="false" outlineLevel="0" collapsed="false">
      <c r="A38" s="8" t="s">
        <v>22</v>
      </c>
      <c r="B38" s="4" t="s">
        <v>23</v>
      </c>
      <c r="C38" s="4" t="n">
        <v>34</v>
      </c>
      <c r="D38" s="4" t="s">
        <v>33</v>
      </c>
      <c r="E38" s="9" t="n">
        <v>0.645</v>
      </c>
      <c r="F38" s="4" t="n">
        <v>1</v>
      </c>
      <c r="G38" s="4" t="n">
        <f aca="false">IF(E38&gt;0.5,1,0)</f>
        <v>1</v>
      </c>
      <c r="H38" s="4" t="str">
        <f aca="false">IF(G38=F38,"match","mismatch")</f>
        <v>match</v>
      </c>
    </row>
    <row r="39" customFormat="false" ht="15" hidden="false" customHeight="false" outlineLevel="0" collapsed="false">
      <c r="A39" s="8" t="s">
        <v>22</v>
      </c>
      <c r="B39" s="4" t="s">
        <v>23</v>
      </c>
      <c r="C39" s="4" t="n">
        <v>35</v>
      </c>
      <c r="D39" s="4" t="s">
        <v>27</v>
      </c>
      <c r="E39" s="9" t="n">
        <v>0.903</v>
      </c>
      <c r="F39" s="4" t="n">
        <v>1</v>
      </c>
      <c r="G39" s="4" t="n">
        <f aca="false">IF(E39&gt;0.5,1,0)</f>
        <v>1</v>
      </c>
      <c r="H39" s="4" t="str">
        <f aca="false">IF(G39=F39,"match","mismatch")</f>
        <v>match</v>
      </c>
    </row>
    <row r="40" customFormat="false" ht="15" hidden="false" customHeight="false" outlineLevel="0" collapsed="false">
      <c r="A40" s="8" t="s">
        <v>22</v>
      </c>
      <c r="B40" s="4" t="s">
        <v>23</v>
      </c>
      <c r="C40" s="4" t="n">
        <v>36</v>
      </c>
      <c r="D40" s="4" t="s">
        <v>25</v>
      </c>
      <c r="E40" s="9" t="n">
        <v>0.169</v>
      </c>
      <c r="F40" s="4" t="n">
        <v>1</v>
      </c>
      <c r="G40" s="4" t="n">
        <f aca="false">IF(E40&gt;0.5,1,0)</f>
        <v>0</v>
      </c>
      <c r="H40" s="4" t="str">
        <f aca="false">IF(G40=F40,"match","mismatch")</f>
        <v>mismatch</v>
      </c>
    </row>
    <row r="41" customFormat="false" ht="15" hidden="false" customHeight="false" outlineLevel="0" collapsed="false">
      <c r="A41" s="8" t="s">
        <v>22</v>
      </c>
      <c r="B41" s="4" t="s">
        <v>23</v>
      </c>
      <c r="C41" s="4" t="n">
        <v>37</v>
      </c>
      <c r="D41" s="4" t="s">
        <v>25</v>
      </c>
      <c r="E41" s="9" t="n">
        <v>0.153</v>
      </c>
      <c r="F41" s="4" t="n">
        <v>0</v>
      </c>
      <c r="G41" s="4" t="n">
        <f aca="false">IF(E41&gt;0.5,1,0)</f>
        <v>0</v>
      </c>
      <c r="H41" s="4" t="str">
        <f aca="false">IF(G41=F41,"match","mismatch")</f>
        <v>match</v>
      </c>
    </row>
    <row r="42" customFormat="false" ht="15" hidden="false" customHeight="false" outlineLevel="0" collapsed="false">
      <c r="A42" s="8" t="s">
        <v>22</v>
      </c>
      <c r="B42" s="4" t="s">
        <v>23</v>
      </c>
      <c r="C42" s="4" t="n">
        <v>38</v>
      </c>
      <c r="D42" s="4" t="s">
        <v>35</v>
      </c>
      <c r="E42" s="9" t="n">
        <v>0.249</v>
      </c>
      <c r="F42" s="4" t="n">
        <v>1</v>
      </c>
      <c r="G42" s="4" t="n">
        <f aca="false">IF(E42&gt;0.5,1,0)</f>
        <v>0</v>
      </c>
      <c r="H42" s="4" t="str">
        <f aca="false">IF(G42=F42,"match","mismatch")</f>
        <v>mismatch</v>
      </c>
    </row>
    <row r="43" customFormat="false" ht="15" hidden="false" customHeight="false" outlineLevel="0" collapsed="false">
      <c r="A43" s="8" t="s">
        <v>22</v>
      </c>
      <c r="B43" s="4" t="s">
        <v>23</v>
      </c>
      <c r="C43" s="4" t="n">
        <v>39</v>
      </c>
      <c r="D43" s="4" t="s">
        <v>37</v>
      </c>
      <c r="E43" s="9" t="n">
        <v>0.06</v>
      </c>
      <c r="F43" s="4" t="n">
        <v>0</v>
      </c>
      <c r="G43" s="4" t="n">
        <f aca="false">IF(E43&gt;0.5,1,0)</f>
        <v>0</v>
      </c>
      <c r="H43" s="4" t="str">
        <f aca="false">IF(G43=F43,"match","mismatch")</f>
        <v>match</v>
      </c>
    </row>
    <row r="44" customFormat="false" ht="15" hidden="false" customHeight="false" outlineLevel="0" collapsed="false">
      <c r="A44" s="8" t="s">
        <v>22</v>
      </c>
      <c r="B44" s="4" t="s">
        <v>23</v>
      </c>
      <c r="C44" s="4" t="n">
        <v>40</v>
      </c>
      <c r="D44" s="4" t="s">
        <v>30</v>
      </c>
      <c r="E44" s="9" t="n">
        <v>0.141</v>
      </c>
      <c r="F44" s="4" t="n">
        <v>0</v>
      </c>
      <c r="G44" s="4" t="n">
        <f aca="false">IF(E44&gt;0.5,1,0)</f>
        <v>0</v>
      </c>
      <c r="H44" s="4" t="str">
        <f aca="false">IF(G44=F44,"match","mismatch")</f>
        <v>match</v>
      </c>
    </row>
    <row r="45" customFormat="false" ht="15" hidden="false" customHeight="false" outlineLevel="0" collapsed="false">
      <c r="A45" s="8" t="s">
        <v>22</v>
      </c>
      <c r="B45" s="4" t="s">
        <v>23</v>
      </c>
      <c r="C45" s="4" t="n">
        <v>41</v>
      </c>
      <c r="D45" s="4" t="s">
        <v>37</v>
      </c>
      <c r="E45" s="9" t="n">
        <v>0.035</v>
      </c>
      <c r="F45" s="4" t="n">
        <v>1</v>
      </c>
      <c r="G45" s="4" t="n">
        <f aca="false">IF(E45&gt;0.5,1,0)</f>
        <v>0</v>
      </c>
      <c r="H45" s="4" t="str">
        <f aca="false">IF(G45=F45,"match","mismatch")</f>
        <v>mismatch</v>
      </c>
    </row>
    <row r="46" customFormat="false" ht="15" hidden="false" customHeight="false" outlineLevel="0" collapsed="false">
      <c r="A46" s="8" t="s">
        <v>22</v>
      </c>
      <c r="B46" s="4" t="s">
        <v>23</v>
      </c>
      <c r="C46" s="4" t="n">
        <v>42</v>
      </c>
      <c r="D46" s="4" t="s">
        <v>23</v>
      </c>
      <c r="E46" s="9" t="n">
        <v>0.037</v>
      </c>
      <c r="F46" s="4" t="n">
        <v>0</v>
      </c>
      <c r="G46" s="4" t="n">
        <f aca="false">IF(E46&gt;0.5,1,0)</f>
        <v>0</v>
      </c>
      <c r="H46" s="4" t="str">
        <f aca="false">IF(G46=F46,"match","mismatch")</f>
        <v>match</v>
      </c>
    </row>
    <row r="47" customFormat="false" ht="15" hidden="false" customHeight="false" outlineLevel="0" collapsed="false">
      <c r="A47" s="8" t="s">
        <v>22</v>
      </c>
      <c r="B47" s="4" t="s">
        <v>23</v>
      </c>
      <c r="C47" s="4" t="n">
        <v>43</v>
      </c>
      <c r="D47" s="4" t="s">
        <v>26</v>
      </c>
      <c r="E47" s="9" t="n">
        <v>0.053</v>
      </c>
      <c r="F47" s="4" t="n">
        <v>0</v>
      </c>
      <c r="G47" s="4" t="n">
        <f aca="false">IF(E47&gt;0.5,1,0)</f>
        <v>0</v>
      </c>
      <c r="H47" s="4" t="str">
        <f aca="false">IF(G47=F47,"match","mismatch")</f>
        <v>match</v>
      </c>
    </row>
    <row r="48" customFormat="false" ht="15" hidden="false" customHeight="false" outlineLevel="0" collapsed="false">
      <c r="A48" s="8" t="s">
        <v>22</v>
      </c>
      <c r="B48" s="4" t="s">
        <v>23</v>
      </c>
      <c r="C48" s="4" t="n">
        <v>44</v>
      </c>
      <c r="D48" s="4" t="s">
        <v>33</v>
      </c>
      <c r="E48" s="9" t="n">
        <v>0.06</v>
      </c>
      <c r="F48" s="4" t="n">
        <v>0</v>
      </c>
      <c r="G48" s="4" t="n">
        <f aca="false">IF(E48&gt;0.5,1,0)</f>
        <v>0</v>
      </c>
      <c r="H48" s="4" t="str">
        <f aca="false">IF(G48=F48,"match","mismatch")</f>
        <v>match</v>
      </c>
    </row>
    <row r="49" customFormat="false" ht="15" hidden="false" customHeight="false" outlineLevel="0" collapsed="false">
      <c r="A49" s="8" t="s">
        <v>22</v>
      </c>
      <c r="B49" s="4" t="s">
        <v>23</v>
      </c>
      <c r="C49" s="4" t="n">
        <v>45</v>
      </c>
      <c r="D49" s="4" t="s">
        <v>33</v>
      </c>
      <c r="E49" s="9" t="n">
        <v>0.063</v>
      </c>
      <c r="F49" s="4" t="n">
        <v>0</v>
      </c>
      <c r="G49" s="4" t="n">
        <f aca="false">IF(E49&gt;0.5,1,0)</f>
        <v>0</v>
      </c>
      <c r="H49" s="4" t="str">
        <f aca="false">IF(G49=F49,"match","mismatch")</f>
        <v>match</v>
      </c>
    </row>
    <row r="50" customFormat="false" ht="15" hidden="false" customHeight="false" outlineLevel="0" collapsed="false">
      <c r="A50" s="8" t="s">
        <v>22</v>
      </c>
      <c r="B50" s="4" t="s">
        <v>23</v>
      </c>
      <c r="C50" s="4" t="n">
        <v>46</v>
      </c>
      <c r="D50" s="4" t="s">
        <v>23</v>
      </c>
      <c r="E50" s="9" t="n">
        <v>0.05</v>
      </c>
      <c r="F50" s="4" t="n">
        <v>0</v>
      </c>
      <c r="G50" s="4" t="n">
        <f aca="false">IF(E50&gt;0.5,1,0)</f>
        <v>0</v>
      </c>
      <c r="H50" s="4" t="str">
        <f aca="false">IF(G50=F50,"match","mismatch")</f>
        <v>match</v>
      </c>
    </row>
    <row r="51" customFormat="false" ht="15" hidden="false" customHeight="false" outlineLevel="0" collapsed="false">
      <c r="A51" s="8" t="s">
        <v>22</v>
      </c>
      <c r="B51" s="4" t="s">
        <v>23</v>
      </c>
      <c r="C51" s="4" t="n">
        <v>47</v>
      </c>
      <c r="D51" s="4" t="s">
        <v>29</v>
      </c>
      <c r="E51" s="9" t="n">
        <v>0.052</v>
      </c>
      <c r="F51" s="4" t="n">
        <v>0</v>
      </c>
      <c r="G51" s="4" t="n">
        <f aca="false">IF(E51&gt;0.5,1,0)</f>
        <v>0</v>
      </c>
      <c r="H51" s="4" t="str">
        <f aca="false">IF(G51=F51,"match","mismatch")</f>
        <v>match</v>
      </c>
    </row>
    <row r="52" customFormat="false" ht="15" hidden="false" customHeight="false" outlineLevel="0" collapsed="false">
      <c r="A52" s="8" t="s">
        <v>22</v>
      </c>
      <c r="B52" s="4" t="s">
        <v>23</v>
      </c>
      <c r="C52" s="4" t="n">
        <v>48</v>
      </c>
      <c r="D52" s="4" t="s">
        <v>23</v>
      </c>
      <c r="E52" s="9" t="n">
        <v>0.062</v>
      </c>
      <c r="F52" s="4" t="n">
        <v>0</v>
      </c>
      <c r="G52" s="4" t="n">
        <f aca="false">IF(E52&gt;0.5,1,0)</f>
        <v>0</v>
      </c>
      <c r="H52" s="4" t="str">
        <f aca="false">IF(G52=F52,"match","mismatch")</f>
        <v>match</v>
      </c>
    </row>
    <row r="53" customFormat="false" ht="15" hidden="false" customHeight="false" outlineLevel="0" collapsed="false">
      <c r="A53" s="8" t="s">
        <v>22</v>
      </c>
      <c r="B53" s="4" t="s">
        <v>23</v>
      </c>
      <c r="C53" s="4" t="n">
        <v>49</v>
      </c>
      <c r="D53" s="4" t="s">
        <v>27</v>
      </c>
      <c r="E53" s="9" t="n">
        <v>0.156</v>
      </c>
      <c r="F53" s="4" t="n">
        <v>0</v>
      </c>
      <c r="G53" s="4" t="n">
        <f aca="false">IF(E53&gt;0.5,1,0)</f>
        <v>0</v>
      </c>
      <c r="H53" s="4" t="str">
        <f aca="false">IF(G53=F53,"match","mismatch")</f>
        <v>match</v>
      </c>
    </row>
    <row r="54" customFormat="false" ht="15" hidden="false" customHeight="false" outlineLevel="0" collapsed="false">
      <c r="A54" s="8" t="s">
        <v>22</v>
      </c>
      <c r="B54" s="4" t="s">
        <v>23</v>
      </c>
      <c r="C54" s="4" t="n">
        <v>50</v>
      </c>
      <c r="D54" s="4" t="s">
        <v>27</v>
      </c>
      <c r="E54" s="9" t="n">
        <v>0.085</v>
      </c>
      <c r="F54" s="4" t="n">
        <v>0</v>
      </c>
      <c r="G54" s="4" t="n">
        <f aca="false">IF(E54&gt;0.5,1,0)</f>
        <v>0</v>
      </c>
      <c r="H54" s="4" t="str">
        <f aca="false">IF(G54=F54,"match","mismatch")</f>
        <v>match</v>
      </c>
    </row>
    <row r="55" customFormat="false" ht="15" hidden="false" customHeight="false" outlineLevel="0" collapsed="false">
      <c r="A55" s="8" t="s">
        <v>22</v>
      </c>
      <c r="B55" s="4" t="s">
        <v>23</v>
      </c>
      <c r="C55" s="4" t="n">
        <v>51</v>
      </c>
      <c r="D55" s="4" t="s">
        <v>33</v>
      </c>
      <c r="E55" s="9" t="n">
        <v>0.023</v>
      </c>
      <c r="F55" s="4" t="n">
        <v>0</v>
      </c>
      <c r="G55" s="4" t="n">
        <f aca="false">IF(E55&gt;0.5,1,0)</f>
        <v>0</v>
      </c>
      <c r="H55" s="4" t="str">
        <f aca="false">IF(G55=F55,"match","mismatch")</f>
        <v>match</v>
      </c>
    </row>
    <row r="56" customFormat="false" ht="15" hidden="false" customHeight="false" outlineLevel="0" collapsed="false">
      <c r="A56" s="8" t="s">
        <v>22</v>
      </c>
      <c r="B56" s="4" t="s">
        <v>23</v>
      </c>
      <c r="C56" s="4" t="n">
        <v>52</v>
      </c>
      <c r="D56" s="4" t="s">
        <v>26</v>
      </c>
      <c r="E56" s="9" t="n">
        <v>0.031</v>
      </c>
      <c r="F56" s="4" t="n">
        <v>0</v>
      </c>
      <c r="G56" s="4" t="n">
        <f aca="false">IF(E56&gt;0.5,1,0)</f>
        <v>0</v>
      </c>
      <c r="H56" s="4" t="str">
        <f aca="false">IF(G56=F56,"match","mismatch")</f>
        <v>match</v>
      </c>
    </row>
    <row r="57" customFormat="false" ht="15" hidden="false" customHeight="false" outlineLevel="0" collapsed="false">
      <c r="A57" s="8" t="s">
        <v>22</v>
      </c>
      <c r="B57" s="4" t="s">
        <v>23</v>
      </c>
      <c r="C57" s="4" t="n">
        <v>53</v>
      </c>
      <c r="D57" s="4" t="s">
        <v>25</v>
      </c>
      <c r="E57" s="9" t="n">
        <v>0.028</v>
      </c>
      <c r="F57" s="4" t="n">
        <v>0</v>
      </c>
      <c r="G57" s="4" t="n">
        <f aca="false">IF(E57&gt;0.5,1,0)</f>
        <v>0</v>
      </c>
      <c r="H57" s="4" t="str">
        <f aca="false">IF(G57=F57,"match","mismatch")</f>
        <v>match</v>
      </c>
    </row>
    <row r="58" customFormat="false" ht="15" hidden="false" customHeight="false" outlineLevel="0" collapsed="false">
      <c r="A58" s="8" t="s">
        <v>22</v>
      </c>
      <c r="B58" s="4" t="s">
        <v>23</v>
      </c>
      <c r="C58" s="4" t="n">
        <v>54</v>
      </c>
      <c r="D58" s="4" t="s">
        <v>23</v>
      </c>
      <c r="E58" s="9" t="n">
        <v>0.02</v>
      </c>
      <c r="F58" s="4" t="n">
        <v>0</v>
      </c>
      <c r="G58" s="4" t="n">
        <f aca="false">IF(E58&gt;0.5,1,0)</f>
        <v>0</v>
      </c>
      <c r="H58" s="4" t="str">
        <f aca="false">IF(G58=F58,"match","mismatch")</f>
        <v>match</v>
      </c>
    </row>
    <row r="59" customFormat="false" ht="15" hidden="false" customHeight="false" outlineLevel="0" collapsed="false">
      <c r="A59" s="8" t="s">
        <v>22</v>
      </c>
      <c r="B59" s="4" t="s">
        <v>23</v>
      </c>
      <c r="C59" s="4" t="n">
        <v>55</v>
      </c>
      <c r="D59" s="4" t="s">
        <v>30</v>
      </c>
      <c r="E59" s="9" t="n">
        <v>0.047</v>
      </c>
      <c r="F59" s="4" t="n">
        <v>0</v>
      </c>
      <c r="G59" s="4" t="n">
        <f aca="false">IF(E59&gt;0.5,1,0)</f>
        <v>0</v>
      </c>
      <c r="H59" s="4" t="str">
        <f aca="false">IF(G59=F59,"match","mismatch")</f>
        <v>match</v>
      </c>
    </row>
    <row r="60" customFormat="false" ht="15" hidden="false" customHeight="false" outlineLevel="0" collapsed="false">
      <c r="A60" s="8" t="s">
        <v>22</v>
      </c>
      <c r="B60" s="4" t="s">
        <v>23</v>
      </c>
      <c r="C60" s="4" t="n">
        <v>56</v>
      </c>
      <c r="D60" s="4" t="s">
        <v>23</v>
      </c>
      <c r="E60" s="9" t="n">
        <v>0.037</v>
      </c>
      <c r="F60" s="4" t="n">
        <v>0</v>
      </c>
      <c r="G60" s="4" t="n">
        <f aca="false">IF(E60&gt;0.5,1,0)</f>
        <v>0</v>
      </c>
      <c r="H60" s="4" t="str">
        <f aca="false">IF(G60=F60,"match","mismatch")</f>
        <v>match</v>
      </c>
    </row>
    <row r="61" customFormat="false" ht="15" hidden="false" customHeight="false" outlineLevel="0" collapsed="false">
      <c r="A61" s="8" t="s">
        <v>22</v>
      </c>
      <c r="B61" s="4" t="s">
        <v>23</v>
      </c>
      <c r="C61" s="4" t="n">
        <v>57</v>
      </c>
      <c r="D61" s="4" t="s">
        <v>35</v>
      </c>
      <c r="E61" s="9" t="n">
        <v>0.034</v>
      </c>
      <c r="F61" s="4" t="n">
        <v>0</v>
      </c>
      <c r="G61" s="4" t="n">
        <f aca="false">IF(E61&gt;0.5,1,0)</f>
        <v>0</v>
      </c>
      <c r="H61" s="4" t="str">
        <f aca="false">IF(G61=F61,"match","mismatch")</f>
        <v>match</v>
      </c>
    </row>
    <row r="62" customFormat="false" ht="15" hidden="false" customHeight="false" outlineLevel="0" collapsed="false">
      <c r="A62" s="8" t="s">
        <v>22</v>
      </c>
      <c r="B62" s="4" t="s">
        <v>23</v>
      </c>
      <c r="C62" s="4" t="n">
        <v>58</v>
      </c>
      <c r="D62" s="4" t="s">
        <v>27</v>
      </c>
      <c r="E62" s="9" t="n">
        <v>0.037</v>
      </c>
      <c r="F62" s="4" t="n">
        <v>0</v>
      </c>
      <c r="G62" s="4" t="n">
        <f aca="false">IF(E62&gt;0.5,1,0)</f>
        <v>0</v>
      </c>
      <c r="H62" s="4" t="str">
        <f aca="false">IF(G62=F62,"match","mismatch")</f>
        <v>match</v>
      </c>
    </row>
    <row r="63" customFormat="false" ht="15" hidden="false" customHeight="false" outlineLevel="0" collapsed="false">
      <c r="A63" s="8" t="s">
        <v>38</v>
      </c>
      <c r="B63" s="4" t="s">
        <v>39</v>
      </c>
      <c r="C63" s="4" t="n">
        <v>1</v>
      </c>
      <c r="D63" s="4" t="s">
        <v>24</v>
      </c>
      <c r="E63" s="9" t="n">
        <v>0.016</v>
      </c>
      <c r="F63" s="4" t="n">
        <v>0</v>
      </c>
      <c r="G63" s="4" t="n">
        <f aca="false">IF(E63&gt;0.5,1,0)</f>
        <v>0</v>
      </c>
      <c r="H63" s="4" t="str">
        <f aca="false">IF(G63=F63,"match","mismatch")</f>
        <v>match</v>
      </c>
    </row>
    <row r="64" customFormat="false" ht="15" hidden="false" customHeight="false" outlineLevel="0" collapsed="false">
      <c r="A64" s="8" t="s">
        <v>38</v>
      </c>
      <c r="B64" s="4" t="s">
        <v>39</v>
      </c>
      <c r="C64" s="4" t="n">
        <v>2</v>
      </c>
      <c r="D64" s="4" t="s">
        <v>25</v>
      </c>
      <c r="E64" s="9" t="n">
        <v>0.077</v>
      </c>
      <c r="F64" s="4" t="n">
        <v>1</v>
      </c>
      <c r="G64" s="4" t="n">
        <f aca="false">IF(E64&gt;0.5,1,0)</f>
        <v>0</v>
      </c>
      <c r="H64" s="4" t="str">
        <f aca="false">IF(G64=F64,"match","mismatch")</f>
        <v>mismatch</v>
      </c>
    </row>
    <row r="65" customFormat="false" ht="15" hidden="false" customHeight="false" outlineLevel="0" collapsed="false">
      <c r="A65" s="8" t="s">
        <v>38</v>
      </c>
      <c r="B65" s="4" t="s">
        <v>39</v>
      </c>
      <c r="C65" s="4" t="n">
        <v>3</v>
      </c>
      <c r="D65" s="4" t="s">
        <v>26</v>
      </c>
      <c r="E65" s="9" t="n">
        <v>0.088</v>
      </c>
      <c r="F65" s="4" t="n">
        <v>0</v>
      </c>
      <c r="G65" s="4" t="n">
        <f aca="false">IF(E65&gt;0.5,1,0)</f>
        <v>0</v>
      </c>
      <c r="H65" s="4" t="str">
        <f aca="false">IF(G65=F65,"match","mismatch")</f>
        <v>match</v>
      </c>
    </row>
    <row r="66" customFormat="false" ht="15" hidden="false" customHeight="false" outlineLevel="0" collapsed="false">
      <c r="A66" s="8" t="s">
        <v>38</v>
      </c>
      <c r="B66" s="4" t="s">
        <v>39</v>
      </c>
      <c r="C66" s="4" t="n">
        <v>4</v>
      </c>
      <c r="D66" s="4" t="s">
        <v>27</v>
      </c>
      <c r="E66" s="9" t="n">
        <v>0.158</v>
      </c>
      <c r="F66" s="4" t="n">
        <v>1</v>
      </c>
      <c r="G66" s="4" t="n">
        <f aca="false">IF(E66&gt;0.5,1,0)</f>
        <v>0</v>
      </c>
      <c r="H66" s="4" t="str">
        <f aca="false">IF(G66=F66,"match","mismatch")</f>
        <v>mismatch</v>
      </c>
    </row>
    <row r="67" customFormat="false" ht="15" hidden="false" customHeight="false" outlineLevel="0" collapsed="false">
      <c r="A67" s="8" t="s">
        <v>38</v>
      </c>
      <c r="B67" s="4" t="s">
        <v>39</v>
      </c>
      <c r="C67" s="4" t="n">
        <v>5</v>
      </c>
      <c r="D67" s="4" t="s">
        <v>28</v>
      </c>
      <c r="E67" s="9" t="n">
        <v>0.261</v>
      </c>
      <c r="F67" s="4" t="n">
        <v>1</v>
      </c>
      <c r="G67" s="4" t="n">
        <f aca="false">IF(E67&gt;0.5,1,0)</f>
        <v>0</v>
      </c>
      <c r="H67" s="4" t="str">
        <f aca="false">IF(G67=F67,"match","mismatch")</f>
        <v>mismatch</v>
      </c>
    </row>
    <row r="68" customFormat="false" ht="15" hidden="false" customHeight="false" outlineLevel="0" collapsed="false">
      <c r="A68" s="8" t="s">
        <v>38</v>
      </c>
      <c r="B68" s="4" t="s">
        <v>39</v>
      </c>
      <c r="C68" s="4" t="n">
        <v>6</v>
      </c>
      <c r="D68" s="4" t="s">
        <v>26</v>
      </c>
      <c r="E68" s="9" t="n">
        <v>0.365</v>
      </c>
      <c r="F68" s="4" t="n">
        <v>1</v>
      </c>
      <c r="G68" s="4" t="n">
        <f aca="false">IF(E68&gt;0.5,1,0)</f>
        <v>0</v>
      </c>
      <c r="H68" s="4" t="str">
        <f aca="false">IF(G68=F68,"match","mismatch")</f>
        <v>mismatch</v>
      </c>
    </row>
    <row r="69" customFormat="false" ht="15" hidden="false" customHeight="false" outlineLevel="0" collapsed="false">
      <c r="A69" s="8" t="s">
        <v>38</v>
      </c>
      <c r="B69" s="4" t="s">
        <v>39</v>
      </c>
      <c r="C69" s="4" t="n">
        <v>7</v>
      </c>
      <c r="D69" s="4" t="s">
        <v>27</v>
      </c>
      <c r="E69" s="9" t="n">
        <v>0.053</v>
      </c>
      <c r="F69" s="4" t="n">
        <v>1</v>
      </c>
      <c r="G69" s="4" t="n">
        <f aca="false">IF(E69&gt;0.5,1,0)</f>
        <v>0</v>
      </c>
      <c r="H69" s="4" t="str">
        <f aca="false">IF(G69=F69,"match","mismatch")</f>
        <v>mismatch</v>
      </c>
    </row>
    <row r="70" customFormat="false" ht="15" hidden="false" customHeight="false" outlineLevel="0" collapsed="false">
      <c r="A70" s="8" t="s">
        <v>38</v>
      </c>
      <c r="B70" s="4" t="s">
        <v>39</v>
      </c>
      <c r="C70" s="4" t="n">
        <v>8</v>
      </c>
      <c r="D70" s="4" t="s">
        <v>29</v>
      </c>
      <c r="E70" s="9" t="n">
        <v>0.059</v>
      </c>
      <c r="F70" s="4" t="n">
        <v>0</v>
      </c>
      <c r="G70" s="4" t="n">
        <f aca="false">IF(E70&gt;0.5,1,0)</f>
        <v>0</v>
      </c>
      <c r="H70" s="4" t="str">
        <f aca="false">IF(G70=F70,"match","mismatch")</f>
        <v>match</v>
      </c>
    </row>
    <row r="71" customFormat="false" ht="15" hidden="false" customHeight="false" outlineLevel="0" collapsed="false">
      <c r="A71" s="8" t="s">
        <v>38</v>
      </c>
      <c r="B71" s="4" t="s">
        <v>39</v>
      </c>
      <c r="C71" s="4" t="n">
        <v>9</v>
      </c>
      <c r="D71" s="4" t="s">
        <v>33</v>
      </c>
      <c r="E71" s="9" t="n">
        <v>0.275</v>
      </c>
      <c r="F71" s="4" t="n">
        <v>1</v>
      </c>
      <c r="G71" s="4" t="n">
        <f aca="false">IF(E71&gt;0.5,1,0)</f>
        <v>0</v>
      </c>
      <c r="H71" s="4" t="str">
        <f aca="false">IF(G71=F71,"match","mismatch")</f>
        <v>mismatch</v>
      </c>
    </row>
    <row r="72" customFormat="false" ht="15" hidden="false" customHeight="false" outlineLevel="0" collapsed="false">
      <c r="A72" s="8" t="s">
        <v>38</v>
      </c>
      <c r="B72" s="4" t="s">
        <v>39</v>
      </c>
      <c r="C72" s="4" t="n">
        <v>10</v>
      </c>
      <c r="D72" s="4" t="s">
        <v>37</v>
      </c>
      <c r="E72" s="9" t="n">
        <v>0.467</v>
      </c>
      <c r="F72" s="4" t="n">
        <v>1</v>
      </c>
      <c r="G72" s="4" t="n">
        <f aca="false">IF(E72&gt;0.5,1,0)</f>
        <v>0</v>
      </c>
      <c r="H72" s="4" t="str">
        <f aca="false">IF(G72=F72,"match","mismatch")</f>
        <v>mismatch</v>
      </c>
    </row>
    <row r="73" customFormat="false" ht="15" hidden="false" customHeight="false" outlineLevel="0" collapsed="false">
      <c r="A73" s="8" t="s">
        <v>38</v>
      </c>
      <c r="B73" s="4" t="s">
        <v>39</v>
      </c>
      <c r="C73" s="4" t="n">
        <v>11</v>
      </c>
      <c r="D73" s="4" t="s">
        <v>24</v>
      </c>
      <c r="E73" s="9" t="n">
        <v>0.255</v>
      </c>
      <c r="F73" s="4" t="n">
        <v>1</v>
      </c>
      <c r="G73" s="4" t="n">
        <f aca="false">IF(E73&gt;0.5,1,0)</f>
        <v>0</v>
      </c>
      <c r="H73" s="4" t="str">
        <f aca="false">IF(G73=F73,"match","mismatch")</f>
        <v>mismatch</v>
      </c>
    </row>
    <row r="74" customFormat="false" ht="15" hidden="false" customHeight="false" outlineLevel="0" collapsed="false">
      <c r="A74" s="8" t="s">
        <v>38</v>
      </c>
      <c r="B74" s="4" t="s">
        <v>39</v>
      </c>
      <c r="C74" s="4" t="n">
        <v>12</v>
      </c>
      <c r="D74" s="4" t="s">
        <v>23</v>
      </c>
      <c r="E74" s="9" t="n">
        <v>0.071</v>
      </c>
      <c r="F74" s="4" t="n">
        <v>1</v>
      </c>
      <c r="G74" s="4" t="n">
        <f aca="false">IF(E74&gt;0.5,1,0)</f>
        <v>0</v>
      </c>
      <c r="H74" s="4" t="str">
        <f aca="false">IF(G74=F74,"match","mismatch")</f>
        <v>mismatch</v>
      </c>
    </row>
    <row r="75" customFormat="false" ht="15" hidden="false" customHeight="false" outlineLevel="0" collapsed="false">
      <c r="A75" s="8" t="s">
        <v>38</v>
      </c>
      <c r="B75" s="4" t="s">
        <v>39</v>
      </c>
      <c r="C75" s="4" t="n">
        <v>13</v>
      </c>
      <c r="D75" s="4" t="s">
        <v>40</v>
      </c>
      <c r="E75" s="9" t="n">
        <v>0.411</v>
      </c>
      <c r="F75" s="4" t="n">
        <v>1</v>
      </c>
      <c r="G75" s="4" t="n">
        <f aca="false">IF(E75&gt;0.5,1,0)</f>
        <v>0</v>
      </c>
      <c r="H75" s="4" t="str">
        <f aca="false">IF(G75=F75,"match","mismatch")</f>
        <v>mismatch</v>
      </c>
    </row>
    <row r="76" customFormat="false" ht="15" hidden="false" customHeight="false" outlineLevel="0" collapsed="false">
      <c r="A76" s="8" t="s">
        <v>38</v>
      </c>
      <c r="B76" s="4" t="s">
        <v>39</v>
      </c>
      <c r="C76" s="4" t="n">
        <v>14</v>
      </c>
      <c r="D76" s="4" t="s">
        <v>36</v>
      </c>
      <c r="E76" s="9" t="n">
        <v>0.849</v>
      </c>
      <c r="F76" s="4" t="n">
        <v>1</v>
      </c>
      <c r="G76" s="4" t="n">
        <f aca="false">IF(E76&gt;0.5,1,0)</f>
        <v>1</v>
      </c>
      <c r="H76" s="4" t="str">
        <f aca="false">IF(G76=F76,"match","mismatch")</f>
        <v>match</v>
      </c>
    </row>
    <row r="77" customFormat="false" ht="15" hidden="false" customHeight="false" outlineLevel="0" collapsed="false">
      <c r="A77" s="8" t="s">
        <v>38</v>
      </c>
      <c r="B77" s="4" t="s">
        <v>39</v>
      </c>
      <c r="C77" s="4" t="n">
        <v>15</v>
      </c>
      <c r="D77" s="4" t="s">
        <v>29</v>
      </c>
      <c r="E77" s="9" t="n">
        <v>0.581</v>
      </c>
      <c r="F77" s="4" t="n">
        <v>1</v>
      </c>
      <c r="G77" s="4" t="n">
        <f aca="false">IF(E77&gt;0.5,1,0)</f>
        <v>1</v>
      </c>
      <c r="H77" s="4" t="str">
        <f aca="false">IF(G77=F77,"match","mismatch")</f>
        <v>match</v>
      </c>
    </row>
    <row r="78" customFormat="false" ht="15" hidden="false" customHeight="false" outlineLevel="0" collapsed="false">
      <c r="A78" s="8" t="s">
        <v>38</v>
      </c>
      <c r="B78" s="4" t="s">
        <v>39</v>
      </c>
      <c r="C78" s="4" t="n">
        <v>16</v>
      </c>
      <c r="D78" s="4" t="s">
        <v>32</v>
      </c>
      <c r="E78" s="9" t="n">
        <v>0.193</v>
      </c>
      <c r="F78" s="4" t="n">
        <v>1</v>
      </c>
      <c r="G78" s="4" t="n">
        <f aca="false">IF(E78&gt;0.5,1,0)</f>
        <v>0</v>
      </c>
      <c r="H78" s="4" t="str">
        <f aca="false">IF(G78=F78,"match","mismatch")</f>
        <v>mismatch</v>
      </c>
    </row>
    <row r="79" customFormat="false" ht="15" hidden="false" customHeight="false" outlineLevel="0" collapsed="false">
      <c r="A79" s="8" t="s">
        <v>38</v>
      </c>
      <c r="B79" s="4" t="s">
        <v>39</v>
      </c>
      <c r="C79" s="4" t="n">
        <v>17</v>
      </c>
      <c r="D79" s="4" t="s">
        <v>24</v>
      </c>
      <c r="E79" s="9" t="n">
        <v>0.34</v>
      </c>
      <c r="F79" s="4" t="n">
        <v>1</v>
      </c>
      <c r="G79" s="4" t="n">
        <f aca="false">IF(E79&gt;0.5,1,0)</f>
        <v>0</v>
      </c>
      <c r="H79" s="4" t="str">
        <f aca="false">IF(G79=F79,"match","mismatch")</f>
        <v>mismatch</v>
      </c>
    </row>
    <row r="80" customFormat="false" ht="15" hidden="false" customHeight="false" outlineLevel="0" collapsed="false">
      <c r="A80" s="8" t="s">
        <v>38</v>
      </c>
      <c r="B80" s="4" t="s">
        <v>39</v>
      </c>
      <c r="C80" s="4" t="n">
        <v>18</v>
      </c>
      <c r="D80" s="4" t="s">
        <v>41</v>
      </c>
      <c r="E80" s="9" t="n">
        <v>0.424</v>
      </c>
      <c r="F80" s="4" t="n">
        <v>1</v>
      </c>
      <c r="G80" s="4" t="n">
        <f aca="false">IF(E80&gt;0.5,1,0)</f>
        <v>0</v>
      </c>
      <c r="H80" s="4" t="str">
        <f aca="false">IF(G80=F80,"match","mismatch")</f>
        <v>mismatch</v>
      </c>
    </row>
    <row r="81" customFormat="false" ht="15" hidden="false" customHeight="false" outlineLevel="0" collapsed="false">
      <c r="A81" s="8" t="s">
        <v>38</v>
      </c>
      <c r="B81" s="4" t="s">
        <v>39</v>
      </c>
      <c r="C81" s="4" t="n">
        <v>19</v>
      </c>
      <c r="D81" s="4" t="s">
        <v>33</v>
      </c>
      <c r="E81" s="9" t="n">
        <v>0.058</v>
      </c>
      <c r="F81" s="4" t="n">
        <v>0</v>
      </c>
      <c r="G81" s="4" t="n">
        <f aca="false">IF(E81&gt;0.5,1,0)</f>
        <v>0</v>
      </c>
      <c r="H81" s="4" t="str">
        <f aca="false">IF(G81=F81,"match","mismatch")</f>
        <v>match</v>
      </c>
    </row>
    <row r="82" customFormat="false" ht="15" hidden="false" customHeight="false" outlineLevel="0" collapsed="false">
      <c r="A82" s="8" t="s">
        <v>38</v>
      </c>
      <c r="B82" s="4" t="s">
        <v>39</v>
      </c>
      <c r="C82" s="4" t="n">
        <v>20</v>
      </c>
      <c r="D82" s="4" t="s">
        <v>35</v>
      </c>
      <c r="E82" s="9" t="n">
        <v>0.027</v>
      </c>
      <c r="F82" s="4" t="n">
        <v>0</v>
      </c>
      <c r="G82" s="4" t="n">
        <f aca="false">IF(E82&gt;0.5,1,0)</f>
        <v>0</v>
      </c>
      <c r="H82" s="4" t="str">
        <f aca="false">IF(G82=F82,"match","mismatch")</f>
        <v>match</v>
      </c>
    </row>
    <row r="83" customFormat="false" ht="15" hidden="false" customHeight="false" outlineLevel="0" collapsed="false">
      <c r="A83" s="8" t="s">
        <v>38</v>
      </c>
      <c r="B83" s="4" t="s">
        <v>39</v>
      </c>
      <c r="C83" s="4" t="n">
        <v>21</v>
      </c>
      <c r="D83" s="4" t="s">
        <v>26</v>
      </c>
      <c r="E83" s="9" t="n">
        <v>0.074</v>
      </c>
      <c r="F83" s="4" t="n">
        <v>0</v>
      </c>
      <c r="G83" s="4" t="n">
        <f aca="false">IF(E83&gt;0.5,1,0)</f>
        <v>0</v>
      </c>
      <c r="H83" s="4" t="str">
        <f aca="false">IF(G83=F83,"match","mismatch")</f>
        <v>match</v>
      </c>
    </row>
    <row r="84" customFormat="false" ht="15" hidden="false" customHeight="false" outlineLevel="0" collapsed="false">
      <c r="A84" s="8" t="s">
        <v>38</v>
      </c>
      <c r="B84" s="4" t="s">
        <v>39</v>
      </c>
      <c r="C84" s="4" t="n">
        <v>22</v>
      </c>
      <c r="D84" s="4" t="s">
        <v>33</v>
      </c>
      <c r="E84" s="9" t="n">
        <v>0.084</v>
      </c>
      <c r="F84" s="4" t="n">
        <v>0</v>
      </c>
      <c r="G84" s="4" t="n">
        <f aca="false">IF(E84&gt;0.5,1,0)</f>
        <v>0</v>
      </c>
      <c r="H84" s="4" t="str">
        <f aca="false">IF(G84=F84,"match","mismatch")</f>
        <v>match</v>
      </c>
    </row>
    <row r="85" customFormat="false" ht="15" hidden="false" customHeight="false" outlineLevel="0" collapsed="false">
      <c r="A85" s="8" t="s">
        <v>38</v>
      </c>
      <c r="B85" s="4" t="s">
        <v>39</v>
      </c>
      <c r="C85" s="4" t="n">
        <v>23</v>
      </c>
      <c r="D85" s="4" t="s">
        <v>26</v>
      </c>
      <c r="E85" s="9" t="n">
        <v>0.075</v>
      </c>
      <c r="F85" s="4" t="n">
        <v>0</v>
      </c>
      <c r="G85" s="4" t="n">
        <f aca="false">IF(E85&gt;0.5,1,0)</f>
        <v>0</v>
      </c>
      <c r="H85" s="4" t="str">
        <f aca="false">IF(G85=F85,"match","mismatch")</f>
        <v>match</v>
      </c>
    </row>
    <row r="86" customFormat="false" ht="15" hidden="false" customHeight="false" outlineLevel="0" collapsed="false">
      <c r="A86" s="8" t="s">
        <v>38</v>
      </c>
      <c r="B86" s="4" t="s">
        <v>39</v>
      </c>
      <c r="C86" s="4" t="n">
        <v>24</v>
      </c>
      <c r="D86" s="4" t="s">
        <v>25</v>
      </c>
      <c r="E86" s="9" t="n">
        <v>0.151</v>
      </c>
      <c r="F86" s="4" t="n">
        <v>1</v>
      </c>
      <c r="G86" s="4" t="n">
        <f aca="false">IF(E86&gt;0.5,1,0)</f>
        <v>0</v>
      </c>
      <c r="H86" s="4" t="str">
        <f aca="false">IF(G86=F86,"match","mismatch")</f>
        <v>mismatch</v>
      </c>
    </row>
    <row r="87" customFormat="false" ht="15" hidden="false" customHeight="false" outlineLevel="0" collapsed="false">
      <c r="A87" s="8" t="s">
        <v>38</v>
      </c>
      <c r="B87" s="4" t="s">
        <v>39</v>
      </c>
      <c r="C87" s="4" t="n">
        <v>25</v>
      </c>
      <c r="D87" s="4" t="s">
        <v>35</v>
      </c>
      <c r="E87" s="9" t="n">
        <v>0.095</v>
      </c>
      <c r="F87" s="4" t="n">
        <v>0</v>
      </c>
      <c r="G87" s="4" t="n">
        <f aca="false">IF(E87&gt;0.5,1,0)</f>
        <v>0</v>
      </c>
      <c r="H87" s="4" t="str">
        <f aca="false">IF(G87=F87,"match","mismatch")</f>
        <v>match</v>
      </c>
    </row>
    <row r="88" customFormat="false" ht="15" hidden="false" customHeight="false" outlineLevel="0" collapsed="false">
      <c r="A88" s="8" t="s">
        <v>38</v>
      </c>
      <c r="B88" s="4" t="s">
        <v>39</v>
      </c>
      <c r="C88" s="4" t="n">
        <v>26</v>
      </c>
      <c r="D88" s="4" t="s">
        <v>30</v>
      </c>
      <c r="E88" s="9" t="n">
        <v>0.193</v>
      </c>
      <c r="F88" s="4" t="n">
        <v>0</v>
      </c>
      <c r="G88" s="4" t="n">
        <f aca="false">IF(E88&gt;0.5,1,0)</f>
        <v>0</v>
      </c>
      <c r="H88" s="4" t="str">
        <f aca="false">IF(G88=F88,"match","mismatch")</f>
        <v>match</v>
      </c>
    </row>
    <row r="89" customFormat="false" ht="15" hidden="false" customHeight="false" outlineLevel="0" collapsed="false">
      <c r="A89" s="8" t="s">
        <v>38</v>
      </c>
      <c r="B89" s="4" t="s">
        <v>39</v>
      </c>
      <c r="C89" s="4" t="n">
        <v>27</v>
      </c>
      <c r="D89" s="4" t="s">
        <v>27</v>
      </c>
      <c r="E89" s="9" t="n">
        <v>0.899</v>
      </c>
      <c r="F89" s="4" t="n">
        <v>1</v>
      </c>
      <c r="G89" s="4" t="n">
        <f aca="false">IF(E89&gt;0.5,1,0)</f>
        <v>1</v>
      </c>
      <c r="H89" s="4" t="str">
        <f aca="false">IF(G89=F89,"match","mismatch")</f>
        <v>match</v>
      </c>
    </row>
    <row r="90" customFormat="false" ht="15" hidden="false" customHeight="false" outlineLevel="0" collapsed="false">
      <c r="A90" s="8" t="s">
        <v>38</v>
      </c>
      <c r="B90" s="4" t="s">
        <v>39</v>
      </c>
      <c r="C90" s="4" t="n">
        <v>28</v>
      </c>
      <c r="D90" s="4" t="s">
        <v>27</v>
      </c>
      <c r="E90" s="9" t="n">
        <v>0.875</v>
      </c>
      <c r="F90" s="4" t="n">
        <v>1</v>
      </c>
      <c r="G90" s="4" t="n">
        <f aca="false">IF(E90&gt;0.5,1,0)</f>
        <v>1</v>
      </c>
      <c r="H90" s="4" t="str">
        <f aca="false">IF(G90=F90,"match","mismatch")</f>
        <v>match</v>
      </c>
    </row>
    <row r="91" customFormat="false" ht="15" hidden="false" customHeight="false" outlineLevel="0" collapsed="false">
      <c r="A91" s="8" t="s">
        <v>38</v>
      </c>
      <c r="B91" s="4" t="s">
        <v>39</v>
      </c>
      <c r="C91" s="4" t="n">
        <v>29</v>
      </c>
      <c r="D91" s="4" t="s">
        <v>23</v>
      </c>
      <c r="E91" s="9" t="n">
        <v>0.483</v>
      </c>
      <c r="F91" s="4" t="n">
        <v>1</v>
      </c>
      <c r="G91" s="4" t="n">
        <f aca="false">IF(E91&gt;0.5,1,0)</f>
        <v>0</v>
      </c>
      <c r="H91" s="4" t="str">
        <f aca="false">IF(G91=F91,"match","mismatch")</f>
        <v>mismatch</v>
      </c>
    </row>
    <row r="92" customFormat="false" ht="15" hidden="false" customHeight="false" outlineLevel="0" collapsed="false">
      <c r="A92" s="8" t="s">
        <v>38</v>
      </c>
      <c r="B92" s="4" t="s">
        <v>39</v>
      </c>
      <c r="C92" s="4" t="n">
        <v>30</v>
      </c>
      <c r="D92" s="4" t="s">
        <v>28</v>
      </c>
      <c r="E92" s="9" t="n">
        <v>0.155</v>
      </c>
      <c r="F92" s="4" t="n">
        <v>1</v>
      </c>
      <c r="G92" s="4" t="n">
        <f aca="false">IF(E92&gt;0.5,1,0)</f>
        <v>0</v>
      </c>
      <c r="H92" s="4" t="str">
        <f aca="false">IF(G92=F92,"match","mismatch")</f>
        <v>mismatch</v>
      </c>
    </row>
    <row r="93" customFormat="false" ht="15" hidden="false" customHeight="false" outlineLevel="0" collapsed="false">
      <c r="A93" s="8" t="s">
        <v>38</v>
      </c>
      <c r="B93" s="4" t="s">
        <v>39</v>
      </c>
      <c r="C93" s="4" t="n">
        <v>31</v>
      </c>
      <c r="D93" s="4" t="s">
        <v>32</v>
      </c>
      <c r="E93" s="9" t="n">
        <v>0.763</v>
      </c>
      <c r="F93" s="4" t="n">
        <v>1</v>
      </c>
      <c r="G93" s="4" t="n">
        <f aca="false">IF(E93&gt;0.5,1,0)</f>
        <v>1</v>
      </c>
      <c r="H93" s="4" t="str">
        <f aca="false">IF(G93=F93,"match","mismatch")</f>
        <v>match</v>
      </c>
    </row>
    <row r="94" customFormat="false" ht="15" hidden="false" customHeight="false" outlineLevel="0" collapsed="false">
      <c r="A94" s="8" t="s">
        <v>38</v>
      </c>
      <c r="B94" s="4" t="s">
        <v>39</v>
      </c>
      <c r="C94" s="4" t="n">
        <v>32</v>
      </c>
      <c r="D94" s="4" t="s">
        <v>28</v>
      </c>
      <c r="E94" s="9" t="n">
        <v>0.889</v>
      </c>
      <c r="F94" s="4" t="n">
        <v>1</v>
      </c>
      <c r="G94" s="4" t="n">
        <f aca="false">IF(E94&gt;0.5,1,0)</f>
        <v>1</v>
      </c>
      <c r="H94" s="4" t="str">
        <f aca="false">IF(G94=F94,"match","mismatch")</f>
        <v>match</v>
      </c>
    </row>
    <row r="95" customFormat="false" ht="15" hidden="false" customHeight="false" outlineLevel="0" collapsed="false">
      <c r="A95" s="8" t="s">
        <v>38</v>
      </c>
      <c r="B95" s="4" t="s">
        <v>39</v>
      </c>
      <c r="C95" s="4" t="n">
        <v>33</v>
      </c>
      <c r="D95" s="4" t="s">
        <v>37</v>
      </c>
      <c r="E95" s="9" t="n">
        <v>0.492</v>
      </c>
      <c r="F95" s="4" t="n">
        <v>1</v>
      </c>
      <c r="G95" s="4" t="n">
        <f aca="false">IF(E95&gt;0.5,1,0)</f>
        <v>0</v>
      </c>
      <c r="H95" s="4" t="str">
        <f aca="false">IF(G95=F95,"match","mismatch")</f>
        <v>mismatch</v>
      </c>
    </row>
    <row r="96" customFormat="false" ht="15" hidden="false" customHeight="false" outlineLevel="0" collapsed="false">
      <c r="A96" s="8" t="s">
        <v>38</v>
      </c>
      <c r="B96" s="4" t="s">
        <v>39</v>
      </c>
      <c r="C96" s="4" t="n">
        <v>34</v>
      </c>
      <c r="D96" s="4" t="s">
        <v>33</v>
      </c>
      <c r="E96" s="9" t="n">
        <v>0.857</v>
      </c>
      <c r="F96" s="4" t="n">
        <v>1</v>
      </c>
      <c r="G96" s="4" t="n">
        <f aca="false">IF(E96&gt;0.5,1,0)</f>
        <v>1</v>
      </c>
      <c r="H96" s="4" t="str">
        <f aca="false">IF(G96=F96,"match","mismatch")</f>
        <v>match</v>
      </c>
    </row>
    <row r="97" customFormat="false" ht="15" hidden="false" customHeight="false" outlineLevel="0" collapsed="false">
      <c r="A97" s="8" t="s">
        <v>38</v>
      </c>
      <c r="B97" s="4" t="s">
        <v>39</v>
      </c>
      <c r="C97" s="4" t="n">
        <v>35</v>
      </c>
      <c r="D97" s="4" t="s">
        <v>42</v>
      </c>
      <c r="E97" s="9" t="n">
        <v>0.937</v>
      </c>
      <c r="F97" s="4" t="n">
        <v>1</v>
      </c>
      <c r="G97" s="4" t="n">
        <f aca="false">IF(E97&gt;0.5,1,0)</f>
        <v>1</v>
      </c>
      <c r="H97" s="4" t="str">
        <f aca="false">IF(G97=F97,"match","mismatch")</f>
        <v>match</v>
      </c>
    </row>
    <row r="98" customFormat="false" ht="15" hidden="false" customHeight="false" outlineLevel="0" collapsed="false">
      <c r="A98" s="8" t="s">
        <v>38</v>
      </c>
      <c r="B98" s="4" t="s">
        <v>39</v>
      </c>
      <c r="C98" s="4" t="n">
        <v>36</v>
      </c>
      <c r="D98" s="4" t="s">
        <v>25</v>
      </c>
      <c r="E98" s="9" t="n">
        <v>0.788</v>
      </c>
      <c r="F98" s="4" t="n">
        <v>1</v>
      </c>
      <c r="G98" s="4" t="n">
        <f aca="false">IF(E98&gt;0.5,1,0)</f>
        <v>1</v>
      </c>
      <c r="H98" s="4" t="str">
        <f aca="false">IF(G98=F98,"match","mismatch")</f>
        <v>match</v>
      </c>
    </row>
    <row r="99" customFormat="false" ht="15" hidden="false" customHeight="false" outlineLevel="0" collapsed="false">
      <c r="A99" s="8" t="s">
        <v>38</v>
      </c>
      <c r="B99" s="4" t="s">
        <v>39</v>
      </c>
      <c r="C99" s="4" t="n">
        <v>37</v>
      </c>
      <c r="D99" s="4" t="s">
        <v>25</v>
      </c>
      <c r="E99" s="9" t="n">
        <v>0.291</v>
      </c>
      <c r="F99" s="4" t="n">
        <v>1</v>
      </c>
      <c r="G99" s="4" t="n">
        <f aca="false">IF(E99&gt;0.5,1,0)</f>
        <v>0</v>
      </c>
      <c r="H99" s="4" t="str">
        <f aca="false">IF(G99=F99,"match","mismatch")</f>
        <v>mismatch</v>
      </c>
    </row>
    <row r="100" customFormat="false" ht="15" hidden="false" customHeight="false" outlineLevel="0" collapsed="false">
      <c r="A100" s="8" t="s">
        <v>38</v>
      </c>
      <c r="B100" s="4" t="s">
        <v>39</v>
      </c>
      <c r="C100" s="4" t="n">
        <v>38</v>
      </c>
      <c r="D100" s="4" t="s">
        <v>35</v>
      </c>
      <c r="E100" s="9" t="n">
        <v>0.135</v>
      </c>
      <c r="F100" s="4" t="n">
        <v>1</v>
      </c>
      <c r="G100" s="4" t="n">
        <f aca="false">IF(E100&gt;0.5,1,0)</f>
        <v>0</v>
      </c>
      <c r="H100" s="4" t="str">
        <f aca="false">IF(G100=F100,"match","mismatch")</f>
        <v>mismatch</v>
      </c>
    </row>
    <row r="101" customFormat="false" ht="15" hidden="false" customHeight="false" outlineLevel="0" collapsed="false">
      <c r="A101" s="8" t="s">
        <v>38</v>
      </c>
      <c r="B101" s="4" t="s">
        <v>39</v>
      </c>
      <c r="C101" s="4" t="n">
        <v>39</v>
      </c>
      <c r="D101" s="4" t="s">
        <v>37</v>
      </c>
      <c r="E101" s="9" t="n">
        <v>0.037</v>
      </c>
      <c r="F101" s="4" t="n">
        <v>0</v>
      </c>
      <c r="G101" s="4" t="n">
        <f aca="false">IF(E101&gt;0.5,1,0)</f>
        <v>0</v>
      </c>
      <c r="H101" s="4" t="str">
        <f aca="false">IF(G101=F101,"match","mismatch")</f>
        <v>match</v>
      </c>
    </row>
    <row r="102" customFormat="false" ht="15" hidden="false" customHeight="false" outlineLevel="0" collapsed="false">
      <c r="A102" s="8" t="s">
        <v>38</v>
      </c>
      <c r="B102" s="4" t="s">
        <v>39</v>
      </c>
      <c r="C102" s="4" t="n">
        <v>40</v>
      </c>
      <c r="D102" s="4" t="s">
        <v>30</v>
      </c>
      <c r="E102" s="9" t="n">
        <v>0.031</v>
      </c>
      <c r="F102" s="4" t="n">
        <v>0</v>
      </c>
      <c r="G102" s="4" t="n">
        <f aca="false">IF(E102&gt;0.5,1,0)</f>
        <v>0</v>
      </c>
      <c r="H102" s="4" t="str">
        <f aca="false">IF(G102=F102,"match","mismatch")</f>
        <v>match</v>
      </c>
    </row>
    <row r="103" customFormat="false" ht="15" hidden="false" customHeight="false" outlineLevel="0" collapsed="false">
      <c r="A103" s="8" t="s">
        <v>38</v>
      </c>
      <c r="B103" s="4" t="s">
        <v>39</v>
      </c>
      <c r="C103" s="4" t="n">
        <v>41</v>
      </c>
      <c r="D103" s="4" t="s">
        <v>37</v>
      </c>
      <c r="E103" s="9" t="n">
        <v>0.006</v>
      </c>
      <c r="F103" s="4" t="n">
        <v>0</v>
      </c>
      <c r="G103" s="4" t="n">
        <f aca="false">IF(E103&gt;0.5,1,0)</f>
        <v>0</v>
      </c>
      <c r="H103" s="4" t="str">
        <f aca="false">IF(G103=F103,"match","mismatch")</f>
        <v>match</v>
      </c>
    </row>
    <row r="104" customFormat="false" ht="15" hidden="false" customHeight="false" outlineLevel="0" collapsed="false">
      <c r="A104" s="8" t="s">
        <v>38</v>
      </c>
      <c r="B104" s="4" t="s">
        <v>39</v>
      </c>
      <c r="C104" s="4" t="n">
        <v>42</v>
      </c>
      <c r="D104" s="4" t="s">
        <v>23</v>
      </c>
      <c r="E104" s="9" t="n">
        <v>0.018</v>
      </c>
      <c r="F104" s="4" t="n">
        <v>0</v>
      </c>
      <c r="G104" s="4" t="n">
        <f aca="false">IF(E104&gt;0.5,1,0)</f>
        <v>0</v>
      </c>
      <c r="H104" s="4" t="str">
        <f aca="false">IF(G104=F104,"match","mismatch")</f>
        <v>match</v>
      </c>
    </row>
    <row r="105" customFormat="false" ht="15" hidden="false" customHeight="false" outlineLevel="0" collapsed="false">
      <c r="A105" s="8" t="s">
        <v>38</v>
      </c>
      <c r="B105" s="4" t="s">
        <v>39</v>
      </c>
      <c r="C105" s="4" t="n">
        <v>43</v>
      </c>
      <c r="D105" s="4" t="s">
        <v>26</v>
      </c>
      <c r="E105" s="9" t="n">
        <v>0.011</v>
      </c>
      <c r="F105" s="4" t="n">
        <v>0</v>
      </c>
      <c r="G105" s="4" t="n">
        <f aca="false">IF(E105&gt;0.5,1,0)</f>
        <v>0</v>
      </c>
      <c r="H105" s="4" t="str">
        <f aca="false">IF(G105=F105,"match","mismatch")</f>
        <v>match</v>
      </c>
    </row>
    <row r="106" customFormat="false" ht="15" hidden="false" customHeight="false" outlineLevel="0" collapsed="false">
      <c r="A106" s="8" t="s">
        <v>38</v>
      </c>
      <c r="B106" s="4" t="s">
        <v>39</v>
      </c>
      <c r="C106" s="4" t="n">
        <v>44</v>
      </c>
      <c r="D106" s="4" t="s">
        <v>33</v>
      </c>
      <c r="E106" s="9" t="n">
        <v>0.011</v>
      </c>
      <c r="F106" s="4" t="n">
        <v>0</v>
      </c>
      <c r="G106" s="4" t="n">
        <f aca="false">IF(E106&gt;0.5,1,0)</f>
        <v>0</v>
      </c>
      <c r="H106" s="4" t="str">
        <f aca="false">IF(G106=F106,"match","mismatch")</f>
        <v>match</v>
      </c>
    </row>
    <row r="107" customFormat="false" ht="15" hidden="false" customHeight="false" outlineLevel="0" collapsed="false">
      <c r="A107" s="8" t="s">
        <v>38</v>
      </c>
      <c r="B107" s="4" t="s">
        <v>39</v>
      </c>
      <c r="C107" s="4" t="n">
        <v>45</v>
      </c>
      <c r="D107" s="4" t="s">
        <v>33</v>
      </c>
      <c r="E107" s="9" t="n">
        <v>0.011</v>
      </c>
      <c r="F107" s="4" t="n">
        <v>0</v>
      </c>
      <c r="G107" s="4" t="n">
        <f aca="false">IF(E107&gt;0.5,1,0)</f>
        <v>0</v>
      </c>
      <c r="H107" s="4" t="str">
        <f aca="false">IF(G107=F107,"match","mismatch")</f>
        <v>match</v>
      </c>
    </row>
    <row r="108" customFormat="false" ht="15" hidden="false" customHeight="false" outlineLevel="0" collapsed="false">
      <c r="A108" s="8" t="s">
        <v>38</v>
      </c>
      <c r="B108" s="4" t="s">
        <v>39</v>
      </c>
      <c r="C108" s="4" t="n">
        <v>46</v>
      </c>
      <c r="D108" s="4" t="s">
        <v>23</v>
      </c>
      <c r="E108" s="9" t="n">
        <v>0.012</v>
      </c>
      <c r="F108" s="4" t="n">
        <v>0</v>
      </c>
      <c r="G108" s="4" t="n">
        <f aca="false">IF(E108&gt;0.5,1,0)</f>
        <v>0</v>
      </c>
      <c r="H108" s="4" t="str">
        <f aca="false">IF(G108=F108,"match","mismatch")</f>
        <v>match</v>
      </c>
    </row>
    <row r="109" customFormat="false" ht="15" hidden="false" customHeight="false" outlineLevel="0" collapsed="false">
      <c r="A109" s="8" t="s">
        <v>38</v>
      </c>
      <c r="B109" s="4" t="s">
        <v>39</v>
      </c>
      <c r="C109" s="4" t="n">
        <v>47</v>
      </c>
      <c r="D109" s="4" t="s">
        <v>29</v>
      </c>
      <c r="E109" s="9" t="n">
        <v>0.016</v>
      </c>
      <c r="F109" s="4" t="n">
        <v>0</v>
      </c>
      <c r="G109" s="4" t="n">
        <f aca="false">IF(E109&gt;0.5,1,0)</f>
        <v>0</v>
      </c>
      <c r="H109" s="4" t="str">
        <f aca="false">IF(G109=F109,"match","mismatch")</f>
        <v>match</v>
      </c>
    </row>
    <row r="110" customFormat="false" ht="15" hidden="false" customHeight="false" outlineLevel="0" collapsed="false">
      <c r="A110" s="8" t="s">
        <v>38</v>
      </c>
      <c r="B110" s="4" t="s">
        <v>39</v>
      </c>
      <c r="C110" s="4" t="n">
        <v>48</v>
      </c>
      <c r="D110" s="4" t="s">
        <v>23</v>
      </c>
      <c r="E110" s="9" t="n">
        <v>0.024</v>
      </c>
      <c r="F110" s="4" t="n">
        <v>0</v>
      </c>
      <c r="G110" s="4" t="n">
        <f aca="false">IF(E110&gt;0.5,1,0)</f>
        <v>0</v>
      </c>
      <c r="H110" s="4" t="str">
        <f aca="false">IF(G110=F110,"match","mismatch")</f>
        <v>match</v>
      </c>
    </row>
    <row r="111" customFormat="false" ht="15" hidden="false" customHeight="false" outlineLevel="0" collapsed="false">
      <c r="A111" s="8" t="s">
        <v>38</v>
      </c>
      <c r="B111" s="4" t="s">
        <v>39</v>
      </c>
      <c r="C111" s="4" t="n">
        <v>49</v>
      </c>
      <c r="D111" s="4" t="s">
        <v>27</v>
      </c>
      <c r="E111" s="9" t="n">
        <v>0.051</v>
      </c>
      <c r="F111" s="4" t="n">
        <v>0</v>
      </c>
      <c r="G111" s="4" t="n">
        <f aca="false">IF(E111&gt;0.5,1,0)</f>
        <v>0</v>
      </c>
      <c r="H111" s="4" t="str">
        <f aca="false">IF(G111=F111,"match","mismatch")</f>
        <v>match</v>
      </c>
    </row>
    <row r="112" customFormat="false" ht="15" hidden="false" customHeight="false" outlineLevel="0" collapsed="false">
      <c r="A112" s="8" t="s">
        <v>38</v>
      </c>
      <c r="B112" s="4" t="s">
        <v>39</v>
      </c>
      <c r="C112" s="4" t="n">
        <v>50</v>
      </c>
      <c r="D112" s="4" t="s">
        <v>27</v>
      </c>
      <c r="E112" s="9" t="n">
        <v>0.083</v>
      </c>
      <c r="F112" s="4" t="n">
        <v>0</v>
      </c>
      <c r="G112" s="4" t="n">
        <f aca="false">IF(E112&gt;0.5,1,0)</f>
        <v>0</v>
      </c>
      <c r="H112" s="4" t="str">
        <f aca="false">IF(G112=F112,"match","mismatch")</f>
        <v>match</v>
      </c>
    </row>
    <row r="113" customFormat="false" ht="15" hidden="false" customHeight="false" outlineLevel="0" collapsed="false">
      <c r="A113" s="8" t="s">
        <v>38</v>
      </c>
      <c r="B113" s="4" t="s">
        <v>39</v>
      </c>
      <c r="C113" s="4" t="n">
        <v>51</v>
      </c>
      <c r="D113" s="4" t="s">
        <v>33</v>
      </c>
      <c r="E113" s="9" t="n">
        <v>0.038</v>
      </c>
      <c r="F113" s="4" t="n">
        <v>0</v>
      </c>
      <c r="G113" s="4" t="n">
        <f aca="false">IF(E113&gt;0.5,1,0)</f>
        <v>0</v>
      </c>
      <c r="H113" s="4" t="str">
        <f aca="false">IF(G113=F113,"match","mismatch")</f>
        <v>match</v>
      </c>
    </row>
    <row r="114" customFormat="false" ht="15" hidden="false" customHeight="false" outlineLevel="0" collapsed="false">
      <c r="A114" s="8" t="s">
        <v>38</v>
      </c>
      <c r="B114" s="4" t="s">
        <v>39</v>
      </c>
      <c r="C114" s="4" t="n">
        <v>52</v>
      </c>
      <c r="D114" s="4" t="s">
        <v>26</v>
      </c>
      <c r="E114" s="9" t="n">
        <v>0.045</v>
      </c>
      <c r="F114" s="4" t="n">
        <v>0</v>
      </c>
      <c r="G114" s="4" t="n">
        <f aca="false">IF(E114&gt;0.5,1,0)</f>
        <v>0</v>
      </c>
      <c r="H114" s="4" t="str">
        <f aca="false">IF(G114=F114,"match","mismatch")</f>
        <v>match</v>
      </c>
    </row>
    <row r="115" customFormat="false" ht="15" hidden="false" customHeight="false" outlineLevel="0" collapsed="false">
      <c r="A115" s="8" t="s">
        <v>38</v>
      </c>
      <c r="B115" s="4" t="s">
        <v>39</v>
      </c>
      <c r="C115" s="4" t="n">
        <v>53</v>
      </c>
      <c r="D115" s="4" t="s">
        <v>25</v>
      </c>
      <c r="E115" s="9" t="n">
        <v>0.024</v>
      </c>
      <c r="F115" s="4" t="n">
        <v>0</v>
      </c>
      <c r="G115" s="4" t="n">
        <f aca="false">IF(E115&gt;0.5,1,0)</f>
        <v>0</v>
      </c>
      <c r="H115" s="4" t="str">
        <f aca="false">IF(G115=F115,"match","mismatch")</f>
        <v>match</v>
      </c>
    </row>
    <row r="116" customFormat="false" ht="15" hidden="false" customHeight="false" outlineLevel="0" collapsed="false">
      <c r="A116" s="8" t="s">
        <v>38</v>
      </c>
      <c r="B116" s="4" t="s">
        <v>39</v>
      </c>
      <c r="C116" s="4" t="n">
        <v>54</v>
      </c>
      <c r="D116" s="4" t="s">
        <v>23</v>
      </c>
      <c r="E116" s="9" t="n">
        <v>0.021</v>
      </c>
      <c r="F116" s="4" t="n">
        <v>0</v>
      </c>
      <c r="G116" s="4" t="n">
        <f aca="false">IF(E116&gt;0.5,1,0)</f>
        <v>0</v>
      </c>
      <c r="H116" s="4" t="str">
        <f aca="false">IF(G116=F116,"match","mismatch")</f>
        <v>match</v>
      </c>
    </row>
    <row r="117" customFormat="false" ht="15" hidden="false" customHeight="false" outlineLevel="0" collapsed="false">
      <c r="A117" s="8" t="s">
        <v>38</v>
      </c>
      <c r="B117" s="4" t="s">
        <v>39</v>
      </c>
      <c r="C117" s="4" t="n">
        <v>55</v>
      </c>
      <c r="D117" s="4" t="s">
        <v>30</v>
      </c>
      <c r="E117" s="9" t="n">
        <v>0.049</v>
      </c>
      <c r="F117" s="4" t="n">
        <v>0</v>
      </c>
      <c r="G117" s="4" t="n">
        <f aca="false">IF(E117&gt;0.5,1,0)</f>
        <v>0</v>
      </c>
      <c r="H117" s="4" t="str">
        <f aca="false">IF(G117=F117,"match","mismatch")</f>
        <v>match</v>
      </c>
    </row>
    <row r="118" customFormat="false" ht="15" hidden="false" customHeight="false" outlineLevel="0" collapsed="false">
      <c r="A118" s="8" t="s">
        <v>38</v>
      </c>
      <c r="B118" s="4" t="s">
        <v>39</v>
      </c>
      <c r="C118" s="4" t="n">
        <v>56</v>
      </c>
      <c r="D118" s="4" t="s">
        <v>23</v>
      </c>
      <c r="E118" s="9" t="n">
        <v>0.035</v>
      </c>
      <c r="F118" s="4" t="n">
        <v>0</v>
      </c>
      <c r="G118" s="4" t="n">
        <f aca="false">IF(E118&gt;0.5,1,0)</f>
        <v>0</v>
      </c>
      <c r="H118" s="4" t="str">
        <f aca="false">IF(G118=F118,"match","mismatch")</f>
        <v>match</v>
      </c>
    </row>
    <row r="119" customFormat="false" ht="15" hidden="false" customHeight="false" outlineLevel="0" collapsed="false">
      <c r="A119" s="8" t="s">
        <v>38</v>
      </c>
      <c r="B119" s="4" t="s">
        <v>39</v>
      </c>
      <c r="C119" s="4" t="n">
        <v>57</v>
      </c>
      <c r="D119" s="4" t="s">
        <v>35</v>
      </c>
      <c r="E119" s="9" t="n">
        <v>0.033</v>
      </c>
      <c r="F119" s="4" t="n">
        <v>0</v>
      </c>
      <c r="G119" s="4" t="n">
        <f aca="false">IF(E119&gt;0.5,1,0)</f>
        <v>0</v>
      </c>
      <c r="H119" s="4" t="str">
        <f aca="false">IF(G119=F119,"match","mismatch")</f>
        <v>match</v>
      </c>
    </row>
    <row r="120" customFormat="false" ht="15" hidden="false" customHeight="false" outlineLevel="0" collapsed="false">
      <c r="A120" s="8" t="s">
        <v>38</v>
      </c>
      <c r="B120" s="4" t="s">
        <v>39</v>
      </c>
      <c r="C120" s="4" t="n">
        <v>58</v>
      </c>
      <c r="D120" s="4" t="s">
        <v>27</v>
      </c>
      <c r="E120" s="9" t="n">
        <v>0.026</v>
      </c>
      <c r="F120" s="4" t="n">
        <v>0</v>
      </c>
      <c r="G120" s="4" t="n">
        <f aca="false">IF(E120&gt;0.5,1,0)</f>
        <v>0</v>
      </c>
      <c r="H120" s="4" t="str">
        <f aca="false">IF(G120=F120,"match","mismatch")</f>
        <v>match</v>
      </c>
    </row>
  </sheetData>
  <mergeCells count="2">
    <mergeCell ref="A1:H1"/>
    <mergeCell ref="A2:H2"/>
  </mergeCells>
  <conditionalFormatting sqref="E5:E120">
    <cfRule type="colorScale" priority="2">
      <colorScale>
        <cfvo type="num" val="0"/>
        <cfvo type="num" val="0.5"/>
        <cfvo type="num" val="1"/>
        <color rgb="FF4472C4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4" min="3" style="0" width="11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43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13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</row>
    <row r="5" customFormat="false" ht="15" hidden="false" customHeight="false" outlineLevel="0" collapsed="false">
      <c r="A5" s="8" t="s">
        <v>22</v>
      </c>
      <c r="B5" s="4" t="s">
        <v>23</v>
      </c>
      <c r="C5" s="4" t="n">
        <v>2</v>
      </c>
      <c r="D5" s="4" t="s">
        <v>24</v>
      </c>
      <c r="E5" s="9" t="n">
        <v>0.034</v>
      </c>
      <c r="F5" s="4" t="n">
        <v>0</v>
      </c>
      <c r="G5" s="4" t="n">
        <f aca="false">IF(E5&gt;0.5,1,0)</f>
        <v>0</v>
      </c>
      <c r="H5" s="4" t="str">
        <f aca="false">IF(G5=F5,"match","mismatch")</f>
        <v>match</v>
      </c>
    </row>
    <row r="6" customFormat="false" ht="15" hidden="false" customHeight="false" outlineLevel="0" collapsed="false">
      <c r="A6" s="8" t="s">
        <v>22</v>
      </c>
      <c r="B6" s="4" t="s">
        <v>23</v>
      </c>
      <c r="C6" s="4" t="n">
        <v>3</v>
      </c>
      <c r="D6" s="4" t="s">
        <v>25</v>
      </c>
      <c r="E6" s="9" t="n">
        <v>0.037</v>
      </c>
      <c r="F6" s="4" t="n">
        <v>0</v>
      </c>
      <c r="G6" s="4" t="n">
        <f aca="false">IF(E6&gt;0.5,1,0)</f>
        <v>0</v>
      </c>
      <c r="H6" s="4" t="str">
        <f aca="false">IF(G6=F6,"match","mismatch")</f>
        <v>match</v>
      </c>
    </row>
    <row r="7" customFormat="false" ht="15" hidden="false" customHeight="false" outlineLevel="0" collapsed="false">
      <c r="A7" s="8" t="s">
        <v>22</v>
      </c>
      <c r="B7" s="4" t="s">
        <v>23</v>
      </c>
      <c r="C7" s="4" t="n">
        <v>4</v>
      </c>
      <c r="D7" s="4" t="s">
        <v>31</v>
      </c>
      <c r="E7" s="9" t="n">
        <v>0.019</v>
      </c>
      <c r="F7" s="4" t="n">
        <v>0</v>
      </c>
      <c r="G7" s="4" t="n">
        <f aca="false">IF(E7&gt;0.5,1,0)</f>
        <v>0</v>
      </c>
      <c r="H7" s="4" t="str">
        <f aca="false">IF(G7=F7,"match","mismatch")</f>
        <v>match</v>
      </c>
    </row>
    <row r="8" customFormat="false" ht="15" hidden="false" customHeight="false" outlineLevel="0" collapsed="false">
      <c r="A8" s="8" t="s">
        <v>22</v>
      </c>
      <c r="B8" s="4" t="s">
        <v>23</v>
      </c>
      <c r="C8" s="4" t="n">
        <v>5</v>
      </c>
      <c r="D8" s="4" t="s">
        <v>32</v>
      </c>
      <c r="E8" s="9" t="n">
        <v>0.039</v>
      </c>
      <c r="F8" s="4" t="n">
        <v>0</v>
      </c>
      <c r="G8" s="4" t="n">
        <f aca="false">IF(E8&gt;0.5,1,0)</f>
        <v>0</v>
      </c>
      <c r="H8" s="4" t="str">
        <f aca="false">IF(G8=F8,"match","mismatch")</f>
        <v>match</v>
      </c>
    </row>
    <row r="9" customFormat="false" ht="15" hidden="false" customHeight="false" outlineLevel="0" collapsed="false">
      <c r="A9" s="8" t="s">
        <v>22</v>
      </c>
      <c r="B9" s="4" t="s">
        <v>23</v>
      </c>
      <c r="C9" s="4" t="n">
        <v>6</v>
      </c>
      <c r="D9" s="4" t="s">
        <v>24</v>
      </c>
      <c r="E9" s="9" t="n">
        <v>0.086</v>
      </c>
      <c r="F9" s="4" t="n">
        <v>0</v>
      </c>
      <c r="G9" s="4" t="n">
        <f aca="false">IF(E9&gt;0.5,1,0)</f>
        <v>0</v>
      </c>
      <c r="H9" s="4" t="str">
        <f aca="false">IF(G9=F9,"match","mismatch")</f>
        <v>match</v>
      </c>
    </row>
    <row r="10" customFormat="false" ht="15" hidden="false" customHeight="false" outlineLevel="0" collapsed="false">
      <c r="A10" s="8" t="s">
        <v>22</v>
      </c>
      <c r="B10" s="4" t="s">
        <v>23</v>
      </c>
      <c r="C10" s="4" t="n">
        <v>7</v>
      </c>
      <c r="D10" s="4" t="s">
        <v>29</v>
      </c>
      <c r="E10" s="9" t="n">
        <v>0.142</v>
      </c>
      <c r="F10" s="4" t="n">
        <v>0</v>
      </c>
      <c r="G10" s="4" t="n">
        <f aca="false">IF(E10&gt;0.5,1,0)</f>
        <v>0</v>
      </c>
      <c r="H10" s="4" t="str">
        <f aca="false">IF(G10=F10,"match","mismatch")</f>
        <v>match</v>
      </c>
    </row>
    <row r="11" customFormat="false" ht="15" hidden="false" customHeight="false" outlineLevel="0" collapsed="false">
      <c r="A11" s="8" t="s">
        <v>22</v>
      </c>
      <c r="B11" s="4" t="s">
        <v>23</v>
      </c>
      <c r="C11" s="4" t="n">
        <v>8</v>
      </c>
      <c r="D11" s="4" t="s">
        <v>31</v>
      </c>
      <c r="E11" s="9" t="n">
        <v>0.656</v>
      </c>
      <c r="F11" s="4" t="n">
        <v>1</v>
      </c>
      <c r="G11" s="4" t="n">
        <f aca="false">IF(E11&gt;0.5,1,0)</f>
        <v>1</v>
      </c>
      <c r="H11" s="4" t="str">
        <f aca="false">IF(G11=F11,"match","mismatch")</f>
        <v>match</v>
      </c>
    </row>
    <row r="12" customFormat="false" ht="15" hidden="false" customHeight="false" outlineLevel="0" collapsed="false">
      <c r="A12" s="8" t="s">
        <v>22</v>
      </c>
      <c r="B12" s="4" t="s">
        <v>23</v>
      </c>
      <c r="C12" s="4" t="n">
        <v>9</v>
      </c>
      <c r="D12" s="4" t="s">
        <v>25</v>
      </c>
      <c r="E12" s="9" t="n">
        <v>0.199</v>
      </c>
      <c r="F12" s="4" t="n">
        <v>1</v>
      </c>
      <c r="G12" s="4" t="n">
        <f aca="false">IF(E12&gt;0.5,1,0)</f>
        <v>0</v>
      </c>
      <c r="H12" s="4" t="str">
        <f aca="false">IF(G12=F12,"match","mismatch")</f>
        <v>mismatch</v>
      </c>
    </row>
    <row r="13" customFormat="false" ht="15" hidden="false" customHeight="false" outlineLevel="0" collapsed="false">
      <c r="A13" s="8" t="s">
        <v>22</v>
      </c>
      <c r="B13" s="4" t="s">
        <v>23</v>
      </c>
      <c r="C13" s="4" t="n">
        <v>10</v>
      </c>
      <c r="D13" s="4" t="s">
        <v>31</v>
      </c>
      <c r="E13" s="9" t="n">
        <v>0.971</v>
      </c>
      <c r="F13" s="4" t="n">
        <v>1</v>
      </c>
      <c r="G13" s="4" t="n">
        <f aca="false">IF(E13&gt;0.5,1,0)</f>
        <v>1</v>
      </c>
      <c r="H13" s="4" t="str">
        <f aca="false">IF(G13=F13,"match","mismatch")</f>
        <v>match</v>
      </c>
    </row>
    <row r="14" customFormat="false" ht="15" hidden="false" customHeight="false" outlineLevel="0" collapsed="false">
      <c r="A14" s="8" t="s">
        <v>22</v>
      </c>
      <c r="B14" s="4" t="s">
        <v>23</v>
      </c>
      <c r="C14" s="4" t="n">
        <v>11</v>
      </c>
      <c r="D14" s="4" t="s">
        <v>25</v>
      </c>
      <c r="E14" s="9" t="n">
        <v>0.249</v>
      </c>
      <c r="F14" s="4" t="n">
        <v>1</v>
      </c>
      <c r="G14" s="4" t="n">
        <f aca="false">IF(E14&gt;0.5,1,0)</f>
        <v>0</v>
      </c>
      <c r="H14" s="4" t="str">
        <f aca="false">IF(G14=F14,"match","mismatch")</f>
        <v>mismatch</v>
      </c>
    </row>
    <row r="15" customFormat="false" ht="15" hidden="false" customHeight="false" outlineLevel="0" collapsed="false">
      <c r="A15" s="8" t="s">
        <v>22</v>
      </c>
      <c r="B15" s="4" t="s">
        <v>23</v>
      </c>
      <c r="C15" s="4" t="n">
        <v>12</v>
      </c>
      <c r="D15" s="4" t="s">
        <v>23</v>
      </c>
      <c r="E15" s="9" t="n">
        <v>0.423</v>
      </c>
      <c r="F15" s="4" t="n">
        <v>0</v>
      </c>
      <c r="G15" s="4" t="n">
        <f aca="false">IF(E15&gt;0.5,1,0)</f>
        <v>0</v>
      </c>
      <c r="H15" s="4" t="str">
        <f aca="false">IF(G15=F15,"match","mismatch")</f>
        <v>match</v>
      </c>
    </row>
    <row r="16" customFormat="false" ht="15" hidden="false" customHeight="false" outlineLevel="0" collapsed="false">
      <c r="A16" s="8" t="s">
        <v>22</v>
      </c>
      <c r="B16" s="4" t="s">
        <v>23</v>
      </c>
      <c r="C16" s="4" t="n">
        <v>13</v>
      </c>
      <c r="D16" s="4" t="s">
        <v>24</v>
      </c>
      <c r="E16" s="9" t="n">
        <v>0.954</v>
      </c>
      <c r="F16" s="4" t="n">
        <v>1</v>
      </c>
      <c r="G16" s="4" t="n">
        <f aca="false">IF(E16&gt;0.5,1,0)</f>
        <v>1</v>
      </c>
      <c r="H16" s="4" t="str">
        <f aca="false">IF(G16=F16,"match","mismatch")</f>
        <v>match</v>
      </c>
    </row>
    <row r="17" customFormat="false" ht="15" hidden="false" customHeight="false" outlineLevel="0" collapsed="false">
      <c r="A17" s="8" t="s">
        <v>22</v>
      </c>
      <c r="B17" s="4" t="s">
        <v>23</v>
      </c>
      <c r="C17" s="4" t="n">
        <v>14</v>
      </c>
      <c r="D17" s="4" t="s">
        <v>34</v>
      </c>
      <c r="E17" s="9" t="n">
        <v>0.953</v>
      </c>
      <c r="F17" s="4" t="n">
        <v>1</v>
      </c>
      <c r="G17" s="4" t="n">
        <f aca="false">IF(E17&gt;0.5,1,0)</f>
        <v>1</v>
      </c>
      <c r="H17" s="4" t="str">
        <f aca="false">IF(G17=F17,"match","mismatch")</f>
        <v>match</v>
      </c>
    </row>
    <row r="18" customFormat="false" ht="15" hidden="false" customHeight="false" outlineLevel="0" collapsed="false">
      <c r="A18" s="8" t="s">
        <v>22</v>
      </c>
      <c r="B18" s="4" t="s">
        <v>23</v>
      </c>
      <c r="C18" s="4" t="n">
        <v>15</v>
      </c>
      <c r="D18" s="4" t="s">
        <v>25</v>
      </c>
      <c r="E18" s="9" t="n">
        <v>0.237</v>
      </c>
      <c r="F18" s="4" t="n">
        <v>1</v>
      </c>
      <c r="G18" s="4" t="n">
        <f aca="false">IF(E18&gt;0.5,1,0)</f>
        <v>0</v>
      </c>
      <c r="H18" s="4" t="str">
        <f aca="false">IF(G18=F18,"match","mismatch")</f>
        <v>mismatch</v>
      </c>
    </row>
    <row r="19" customFormat="false" ht="15" hidden="false" customHeight="false" outlineLevel="0" collapsed="false">
      <c r="A19" s="8" t="s">
        <v>22</v>
      </c>
      <c r="B19" s="4" t="s">
        <v>23</v>
      </c>
      <c r="C19" s="4" t="n">
        <v>16</v>
      </c>
      <c r="D19" s="4" t="s">
        <v>25</v>
      </c>
      <c r="E19" s="9" t="n">
        <v>0.962</v>
      </c>
      <c r="F19" s="4" t="n">
        <v>1</v>
      </c>
      <c r="G19" s="4" t="n">
        <f aca="false">IF(E19&gt;0.5,1,0)</f>
        <v>1</v>
      </c>
      <c r="H19" s="4" t="str">
        <f aca="false">IF(G19=F19,"match","mismatch")</f>
        <v>match</v>
      </c>
    </row>
    <row r="20" customFormat="false" ht="15" hidden="false" customHeight="false" outlineLevel="0" collapsed="false">
      <c r="A20" s="8" t="s">
        <v>22</v>
      </c>
      <c r="B20" s="4" t="s">
        <v>23</v>
      </c>
      <c r="C20" s="4" t="n">
        <v>17</v>
      </c>
      <c r="D20" s="4" t="s">
        <v>29</v>
      </c>
      <c r="E20" s="9" t="n">
        <v>0.641</v>
      </c>
      <c r="F20" s="4" t="n">
        <v>1</v>
      </c>
      <c r="G20" s="4" t="n">
        <f aca="false">IF(E20&gt;0.5,1,0)</f>
        <v>1</v>
      </c>
      <c r="H20" s="4" t="str">
        <f aca="false">IF(G20=F20,"match","mismatch")</f>
        <v>match</v>
      </c>
    </row>
    <row r="21" customFormat="false" ht="15" hidden="false" customHeight="false" outlineLevel="0" collapsed="false">
      <c r="A21" s="8" t="s">
        <v>22</v>
      </c>
      <c r="B21" s="4" t="s">
        <v>23</v>
      </c>
      <c r="C21" s="4" t="n">
        <v>18</v>
      </c>
      <c r="D21" s="4" t="s">
        <v>33</v>
      </c>
      <c r="E21" s="9" t="n">
        <v>0.003</v>
      </c>
      <c r="F21" s="4" t="n">
        <v>0</v>
      </c>
      <c r="G21" s="4" t="n">
        <f aca="false">IF(E21&gt;0.5,1,0)</f>
        <v>0</v>
      </c>
      <c r="H21" s="4" t="str">
        <f aca="false">IF(G21=F21,"match","mismatch")</f>
        <v>match</v>
      </c>
    </row>
    <row r="22" customFormat="false" ht="15" hidden="false" customHeight="false" outlineLevel="0" collapsed="false">
      <c r="A22" s="8" t="s">
        <v>22</v>
      </c>
      <c r="B22" s="4" t="s">
        <v>23</v>
      </c>
      <c r="C22" s="4" t="n">
        <v>19</v>
      </c>
      <c r="D22" s="4" t="s">
        <v>41</v>
      </c>
      <c r="E22" s="9" t="n">
        <v>0.033</v>
      </c>
      <c r="F22" s="4" t="n">
        <v>0</v>
      </c>
      <c r="G22" s="4" t="n">
        <f aca="false">IF(E22&gt;0.5,1,0)</f>
        <v>0</v>
      </c>
      <c r="H22" s="4" t="str">
        <f aca="false">IF(G22=F22,"match","mismatch")</f>
        <v>match</v>
      </c>
    </row>
    <row r="23" customFormat="false" ht="15" hidden="false" customHeight="false" outlineLevel="0" collapsed="false">
      <c r="A23" s="8" t="s">
        <v>22</v>
      </c>
      <c r="B23" s="4" t="s">
        <v>23</v>
      </c>
      <c r="C23" s="4" t="n">
        <v>20</v>
      </c>
      <c r="D23" s="4" t="s">
        <v>32</v>
      </c>
      <c r="E23" s="9" t="n">
        <v>0.018</v>
      </c>
      <c r="F23" s="4" t="n">
        <v>0</v>
      </c>
      <c r="G23" s="4" t="n">
        <f aca="false">IF(E23&gt;0.5,1,0)</f>
        <v>0</v>
      </c>
      <c r="H23" s="4" t="str">
        <f aca="false">IF(G23=F23,"match","mismatch")</f>
        <v>match</v>
      </c>
    </row>
    <row r="24" customFormat="false" ht="15" hidden="false" customHeight="false" outlineLevel="0" collapsed="false">
      <c r="A24" s="8" t="s">
        <v>22</v>
      </c>
      <c r="B24" s="4" t="s">
        <v>23</v>
      </c>
      <c r="C24" s="4" t="n">
        <v>21</v>
      </c>
      <c r="D24" s="4" t="s">
        <v>36</v>
      </c>
      <c r="E24" s="9" t="n">
        <v>0.05</v>
      </c>
      <c r="F24" s="4" t="n">
        <v>0</v>
      </c>
      <c r="G24" s="4" t="n">
        <f aca="false">IF(E24&gt;0.5,1,0)</f>
        <v>0</v>
      </c>
      <c r="H24" s="4" t="str">
        <f aca="false">IF(G24=F24,"match","mismatch")</f>
        <v>match</v>
      </c>
    </row>
    <row r="25" customFormat="false" ht="15" hidden="false" customHeight="false" outlineLevel="0" collapsed="false">
      <c r="A25" s="8" t="s">
        <v>22</v>
      </c>
      <c r="B25" s="4" t="s">
        <v>23</v>
      </c>
      <c r="C25" s="4" t="n">
        <v>22</v>
      </c>
      <c r="D25" s="4" t="s">
        <v>24</v>
      </c>
      <c r="E25" s="9" t="n">
        <v>0.039</v>
      </c>
      <c r="F25" s="4" t="n">
        <v>0</v>
      </c>
      <c r="G25" s="4" t="n">
        <f aca="false">IF(E25&gt;0.5,1,0)</f>
        <v>0</v>
      </c>
      <c r="H25" s="4" t="str">
        <f aca="false">IF(G25=F25,"match","mismatch")</f>
        <v>match</v>
      </c>
    </row>
    <row r="26" customFormat="false" ht="15" hidden="false" customHeight="false" outlineLevel="0" collapsed="false">
      <c r="A26" s="8" t="s">
        <v>22</v>
      </c>
      <c r="B26" s="4" t="s">
        <v>23</v>
      </c>
      <c r="C26" s="4" t="n">
        <v>23</v>
      </c>
      <c r="D26" s="4" t="s">
        <v>40</v>
      </c>
      <c r="E26" s="9" t="n">
        <v>0.022</v>
      </c>
      <c r="F26" s="4" t="n">
        <v>0</v>
      </c>
      <c r="G26" s="4" t="n">
        <f aca="false">IF(E26&gt;0.5,1,0)</f>
        <v>0</v>
      </c>
      <c r="H26" s="4" t="str">
        <f aca="false">IF(G26=F26,"match","mismatch")</f>
        <v>match</v>
      </c>
    </row>
    <row r="27" customFormat="false" ht="15" hidden="false" customHeight="false" outlineLevel="0" collapsed="false">
      <c r="A27" s="8" t="s">
        <v>22</v>
      </c>
      <c r="B27" s="4" t="s">
        <v>23</v>
      </c>
      <c r="C27" s="4" t="n">
        <v>24</v>
      </c>
      <c r="D27" s="4" t="s">
        <v>29</v>
      </c>
      <c r="E27" s="9" t="n">
        <v>0.005</v>
      </c>
      <c r="F27" s="4" t="n">
        <v>0</v>
      </c>
      <c r="G27" s="4" t="n">
        <f aca="false">IF(E27&gt;0.5,1,0)</f>
        <v>0</v>
      </c>
      <c r="H27" s="4" t="str">
        <f aca="false">IF(G27=F27,"match","mismatch")</f>
        <v>match</v>
      </c>
    </row>
    <row r="28" customFormat="false" ht="15" hidden="false" customHeight="false" outlineLevel="0" collapsed="false">
      <c r="A28" s="8" t="s">
        <v>22</v>
      </c>
      <c r="B28" s="4" t="s">
        <v>23</v>
      </c>
      <c r="C28" s="4" t="n">
        <v>25</v>
      </c>
      <c r="D28" s="4" t="s">
        <v>32</v>
      </c>
      <c r="E28" s="9" t="n">
        <v>0.008</v>
      </c>
      <c r="F28" s="4" t="n">
        <v>0</v>
      </c>
      <c r="G28" s="4" t="n">
        <f aca="false">IF(E28&gt;0.5,1,0)</f>
        <v>0</v>
      </c>
      <c r="H28" s="4" t="str">
        <f aca="false">IF(G28=F28,"match","mismatch")</f>
        <v>match</v>
      </c>
    </row>
    <row r="29" customFormat="false" ht="15" hidden="false" customHeight="false" outlineLevel="0" collapsed="false">
      <c r="A29" s="8" t="s">
        <v>22</v>
      </c>
      <c r="B29" s="4" t="s">
        <v>23</v>
      </c>
      <c r="C29" s="4" t="n">
        <v>26</v>
      </c>
      <c r="D29" s="4" t="s">
        <v>32</v>
      </c>
      <c r="E29" s="9" t="n">
        <v>0.012</v>
      </c>
      <c r="F29" s="4" t="n">
        <v>0</v>
      </c>
      <c r="G29" s="4" t="n">
        <f aca="false">IF(E29&gt;0.5,1,0)</f>
        <v>0</v>
      </c>
      <c r="H29" s="4" t="str">
        <f aca="false">IF(G29=F29,"match","mismatch")</f>
        <v>match</v>
      </c>
    </row>
    <row r="30" customFormat="false" ht="15" hidden="false" customHeight="false" outlineLevel="0" collapsed="false">
      <c r="A30" s="8" t="s">
        <v>22</v>
      </c>
      <c r="B30" s="4" t="s">
        <v>23</v>
      </c>
      <c r="C30" s="4" t="n">
        <v>27</v>
      </c>
      <c r="D30" s="4" t="s">
        <v>36</v>
      </c>
      <c r="E30" s="9" t="n">
        <v>0.034</v>
      </c>
      <c r="F30" s="4" t="n">
        <v>0</v>
      </c>
      <c r="G30" s="4" t="n">
        <f aca="false">IF(E30&gt;0.5,1,0)</f>
        <v>0</v>
      </c>
      <c r="H30" s="4" t="str">
        <f aca="false">IF(G30=F30,"match","mismatch")</f>
        <v>match</v>
      </c>
    </row>
    <row r="31" customFormat="false" ht="15" hidden="false" customHeight="false" outlineLevel="0" collapsed="false">
      <c r="A31" s="8" t="s">
        <v>22</v>
      </c>
      <c r="B31" s="4" t="s">
        <v>23</v>
      </c>
      <c r="C31" s="4" t="n">
        <v>28</v>
      </c>
      <c r="D31" s="4" t="s">
        <v>26</v>
      </c>
      <c r="E31" s="9" t="n">
        <v>0.053</v>
      </c>
      <c r="F31" s="4" t="n">
        <v>0</v>
      </c>
      <c r="G31" s="4" t="n">
        <f aca="false">IF(E31&gt;0.5,1,0)</f>
        <v>0</v>
      </c>
      <c r="H31" s="4" t="str">
        <f aca="false">IF(G31=F31,"match","mismatch")</f>
        <v>match</v>
      </c>
    </row>
    <row r="32" customFormat="false" ht="15" hidden="false" customHeight="false" outlineLevel="0" collapsed="false">
      <c r="A32" s="8" t="s">
        <v>22</v>
      </c>
      <c r="B32" s="4" t="s">
        <v>23</v>
      </c>
      <c r="C32" s="4" t="n">
        <v>29</v>
      </c>
      <c r="D32" s="4" t="s">
        <v>24</v>
      </c>
      <c r="E32" s="9" t="n">
        <v>0.036</v>
      </c>
      <c r="F32" s="4" t="n">
        <v>0</v>
      </c>
      <c r="G32" s="4" t="n">
        <f aca="false">IF(E32&gt;0.5,1,0)</f>
        <v>0</v>
      </c>
      <c r="H32" s="4" t="str">
        <f aca="false">IF(G32=F32,"match","mismatch")</f>
        <v>match</v>
      </c>
    </row>
    <row r="33" customFormat="false" ht="15" hidden="false" customHeight="false" outlineLevel="0" collapsed="false">
      <c r="A33" s="8" t="s">
        <v>22</v>
      </c>
      <c r="B33" s="4" t="s">
        <v>23</v>
      </c>
      <c r="C33" s="4" t="n">
        <v>30</v>
      </c>
      <c r="D33" s="4" t="s">
        <v>27</v>
      </c>
      <c r="E33" s="9" t="n">
        <v>0.116</v>
      </c>
      <c r="F33" s="4" t="n">
        <v>0</v>
      </c>
      <c r="G33" s="4" t="n">
        <f aca="false">IF(E33&gt;0.5,1,0)</f>
        <v>0</v>
      </c>
      <c r="H33" s="4" t="str">
        <f aca="false">IF(G33=F33,"match","mismatch")</f>
        <v>match</v>
      </c>
    </row>
    <row r="34" customFormat="false" ht="15" hidden="false" customHeight="false" outlineLevel="0" collapsed="false">
      <c r="A34" s="8" t="s">
        <v>22</v>
      </c>
      <c r="B34" s="4" t="s">
        <v>23</v>
      </c>
      <c r="C34" s="4" t="n">
        <v>31</v>
      </c>
      <c r="D34" s="4" t="s">
        <v>27</v>
      </c>
      <c r="E34" s="9" t="n">
        <v>0.198</v>
      </c>
      <c r="F34" s="4" t="n">
        <v>0</v>
      </c>
      <c r="G34" s="4" t="n">
        <f aca="false">IF(E34&gt;0.5,1,0)</f>
        <v>0</v>
      </c>
      <c r="H34" s="4" t="str">
        <f aca="false">IF(G34=F34,"match","mismatch")</f>
        <v>match</v>
      </c>
    </row>
    <row r="35" customFormat="false" ht="15" hidden="false" customHeight="false" outlineLevel="0" collapsed="false">
      <c r="A35" s="8" t="s">
        <v>22</v>
      </c>
      <c r="B35" s="4" t="s">
        <v>23</v>
      </c>
      <c r="C35" s="4" t="n">
        <v>32</v>
      </c>
      <c r="D35" s="4" t="s">
        <v>33</v>
      </c>
      <c r="E35" s="9" t="n">
        <v>0.667</v>
      </c>
      <c r="F35" s="4" t="n">
        <v>1</v>
      </c>
      <c r="G35" s="4" t="n">
        <f aca="false">IF(E35&gt;0.5,1,0)</f>
        <v>1</v>
      </c>
      <c r="H35" s="4" t="str">
        <f aca="false">IF(G35=F35,"match","mismatch")</f>
        <v>match</v>
      </c>
    </row>
    <row r="36" customFormat="false" ht="15" hidden="false" customHeight="false" outlineLevel="0" collapsed="false">
      <c r="A36" s="8" t="s">
        <v>22</v>
      </c>
      <c r="B36" s="4" t="s">
        <v>23</v>
      </c>
      <c r="C36" s="4" t="n">
        <v>33</v>
      </c>
      <c r="D36" s="4" t="s">
        <v>30</v>
      </c>
      <c r="E36" s="9" t="n">
        <v>0.622</v>
      </c>
      <c r="F36" s="4" t="n">
        <v>1</v>
      </c>
      <c r="G36" s="4" t="n">
        <f aca="false">IF(E36&gt;0.5,1,0)</f>
        <v>1</v>
      </c>
      <c r="H36" s="4" t="str">
        <f aca="false">IF(G36=F36,"match","mismatch")</f>
        <v>match</v>
      </c>
    </row>
    <row r="37" customFormat="false" ht="15" hidden="false" customHeight="false" outlineLevel="0" collapsed="false">
      <c r="A37" s="8" t="s">
        <v>22</v>
      </c>
      <c r="B37" s="4" t="s">
        <v>23</v>
      </c>
      <c r="C37" s="4" t="n">
        <v>34</v>
      </c>
      <c r="D37" s="4" t="s">
        <v>29</v>
      </c>
      <c r="E37" s="9" t="n">
        <v>0.963</v>
      </c>
      <c r="F37" s="4" t="n">
        <v>1</v>
      </c>
      <c r="G37" s="4" t="n">
        <f aca="false">IF(E37&gt;0.5,1,0)</f>
        <v>1</v>
      </c>
      <c r="H37" s="4" t="str">
        <f aca="false">IF(G37=F37,"match","mismatch")</f>
        <v>match</v>
      </c>
    </row>
    <row r="38" customFormat="false" ht="15" hidden="false" customHeight="false" outlineLevel="0" collapsed="false">
      <c r="A38" s="8" t="s">
        <v>22</v>
      </c>
      <c r="B38" s="4" t="s">
        <v>23</v>
      </c>
      <c r="C38" s="4" t="n">
        <v>35</v>
      </c>
      <c r="D38" s="4" t="s">
        <v>29</v>
      </c>
      <c r="E38" s="9" t="n">
        <v>0.952</v>
      </c>
      <c r="F38" s="4" t="n">
        <v>1</v>
      </c>
      <c r="G38" s="4" t="n">
        <f aca="false">IF(E38&gt;0.5,1,0)</f>
        <v>1</v>
      </c>
      <c r="H38" s="4" t="str">
        <f aca="false">IF(G38=F38,"match","mismatch")</f>
        <v>match</v>
      </c>
    </row>
    <row r="39" customFormat="false" ht="15" hidden="false" customHeight="false" outlineLevel="0" collapsed="false">
      <c r="A39" s="8" t="s">
        <v>22</v>
      </c>
      <c r="B39" s="4" t="s">
        <v>23</v>
      </c>
      <c r="C39" s="4" t="n">
        <v>36</v>
      </c>
      <c r="D39" s="4" t="s">
        <v>40</v>
      </c>
      <c r="E39" s="9" t="n">
        <v>0.976</v>
      </c>
      <c r="F39" s="4" t="n">
        <v>1</v>
      </c>
      <c r="G39" s="4" t="n">
        <f aca="false">IF(E39&gt;0.5,1,0)</f>
        <v>1</v>
      </c>
      <c r="H39" s="4" t="str">
        <f aca="false">IF(G39=F39,"match","mismatch")</f>
        <v>match</v>
      </c>
    </row>
    <row r="40" customFormat="false" ht="15" hidden="false" customHeight="false" outlineLevel="0" collapsed="false">
      <c r="A40" s="8" t="s">
        <v>22</v>
      </c>
      <c r="B40" s="4" t="s">
        <v>23</v>
      </c>
      <c r="C40" s="4" t="n">
        <v>37</v>
      </c>
      <c r="D40" s="4" t="s">
        <v>42</v>
      </c>
      <c r="E40" s="9" t="n">
        <v>0.962</v>
      </c>
      <c r="F40" s="4" t="n">
        <v>1</v>
      </c>
      <c r="G40" s="4" t="n">
        <f aca="false">IF(E40&gt;0.5,1,0)</f>
        <v>1</v>
      </c>
      <c r="H40" s="4" t="str">
        <f aca="false">IF(G40=F40,"match","mismatch")</f>
        <v>match</v>
      </c>
    </row>
    <row r="41" customFormat="false" ht="15" hidden="false" customHeight="false" outlineLevel="0" collapsed="false">
      <c r="A41" s="8" t="s">
        <v>22</v>
      </c>
      <c r="B41" s="4" t="s">
        <v>23</v>
      </c>
      <c r="C41" s="4" t="n">
        <v>38</v>
      </c>
      <c r="D41" s="4" t="s">
        <v>33</v>
      </c>
      <c r="E41" s="9" t="n">
        <v>0.662</v>
      </c>
      <c r="F41" s="4" t="n">
        <v>0</v>
      </c>
      <c r="G41" s="4" t="n">
        <f aca="false">IF(E41&gt;0.5,1,0)</f>
        <v>1</v>
      </c>
      <c r="H41" s="4" t="str">
        <f aca="false">IF(G41=F41,"match","mismatch")</f>
        <v>mismatch</v>
      </c>
    </row>
    <row r="42" customFormat="false" ht="15" hidden="false" customHeight="false" outlineLevel="0" collapsed="false">
      <c r="A42" s="8" t="s">
        <v>22</v>
      </c>
      <c r="B42" s="4" t="s">
        <v>23</v>
      </c>
      <c r="C42" s="4" t="n">
        <v>39</v>
      </c>
      <c r="D42" s="4" t="s">
        <v>29</v>
      </c>
      <c r="E42" s="9" t="n">
        <v>0.14</v>
      </c>
      <c r="F42" s="4" t="n">
        <v>0</v>
      </c>
      <c r="G42" s="4" t="n">
        <f aca="false">IF(E42&gt;0.5,1,0)</f>
        <v>0</v>
      </c>
      <c r="H42" s="4" t="str">
        <f aca="false">IF(G42=F42,"match","mismatch")</f>
        <v>match</v>
      </c>
    </row>
    <row r="43" customFormat="false" ht="15" hidden="false" customHeight="false" outlineLevel="0" collapsed="false">
      <c r="A43" s="8" t="s">
        <v>22</v>
      </c>
      <c r="B43" s="4" t="s">
        <v>23</v>
      </c>
      <c r="C43" s="4" t="n">
        <v>40</v>
      </c>
      <c r="D43" s="4" t="s">
        <v>40</v>
      </c>
      <c r="E43" s="9" t="n">
        <v>0.024</v>
      </c>
      <c r="F43" s="4" t="n">
        <v>0</v>
      </c>
      <c r="G43" s="4" t="n">
        <f aca="false">IF(E43&gt;0.5,1,0)</f>
        <v>0</v>
      </c>
      <c r="H43" s="4" t="str">
        <f aca="false">IF(G43=F43,"match","mismatch")</f>
        <v>match</v>
      </c>
    </row>
    <row r="44" customFormat="false" ht="15" hidden="false" customHeight="false" outlineLevel="0" collapsed="false">
      <c r="A44" s="8" t="s">
        <v>22</v>
      </c>
      <c r="B44" s="4" t="s">
        <v>23</v>
      </c>
      <c r="C44" s="4" t="n">
        <v>41</v>
      </c>
      <c r="D44" s="4" t="s">
        <v>29</v>
      </c>
      <c r="E44" s="9" t="n">
        <v>0.114</v>
      </c>
      <c r="F44" s="4" t="n">
        <v>0</v>
      </c>
      <c r="G44" s="4" t="n">
        <f aca="false">IF(E44&gt;0.5,1,0)</f>
        <v>0</v>
      </c>
      <c r="H44" s="4" t="str">
        <f aca="false">IF(G44=F44,"match","mismatch")</f>
        <v>match</v>
      </c>
    </row>
    <row r="45" customFormat="false" ht="15" hidden="false" customHeight="false" outlineLevel="0" collapsed="false">
      <c r="A45" s="8" t="s">
        <v>22</v>
      </c>
      <c r="B45" s="4" t="s">
        <v>23</v>
      </c>
      <c r="C45" s="4" t="n">
        <v>42</v>
      </c>
      <c r="D45" s="4" t="s">
        <v>33</v>
      </c>
      <c r="E45" s="9" t="n">
        <v>0.007</v>
      </c>
      <c r="F45" s="4" t="n">
        <v>0</v>
      </c>
      <c r="G45" s="4" t="n">
        <f aca="false">IF(E45&gt;0.5,1,0)</f>
        <v>0</v>
      </c>
      <c r="H45" s="4" t="str">
        <f aca="false">IF(G45=F45,"match","mismatch")</f>
        <v>match</v>
      </c>
    </row>
    <row r="46" customFormat="false" ht="15" hidden="false" customHeight="false" outlineLevel="0" collapsed="false">
      <c r="A46" s="8" t="s">
        <v>22</v>
      </c>
      <c r="B46" s="4" t="s">
        <v>23</v>
      </c>
      <c r="C46" s="4" t="n">
        <v>43</v>
      </c>
      <c r="D46" s="4" t="s">
        <v>26</v>
      </c>
      <c r="E46" s="9" t="n">
        <v>0.021</v>
      </c>
      <c r="F46" s="4" t="n">
        <v>0</v>
      </c>
      <c r="G46" s="4" t="n">
        <f aca="false">IF(E46&gt;0.5,1,0)</f>
        <v>0</v>
      </c>
      <c r="H46" s="4" t="str">
        <f aca="false">IF(G46=F46,"match","mismatch")</f>
        <v>match</v>
      </c>
    </row>
    <row r="47" customFormat="false" ht="15" hidden="false" customHeight="false" outlineLevel="0" collapsed="false">
      <c r="A47" s="8" t="s">
        <v>22</v>
      </c>
      <c r="B47" s="4" t="s">
        <v>23</v>
      </c>
      <c r="C47" s="4" t="n">
        <v>44</v>
      </c>
      <c r="D47" s="4" t="s">
        <v>40</v>
      </c>
      <c r="E47" s="9" t="n">
        <v>0.032</v>
      </c>
      <c r="F47" s="4" t="n">
        <v>0</v>
      </c>
      <c r="G47" s="4" t="n">
        <f aca="false">IF(E47&gt;0.5,1,0)</f>
        <v>0</v>
      </c>
      <c r="H47" s="4" t="str">
        <f aca="false">IF(G47=F47,"match","mismatch")</f>
        <v>match</v>
      </c>
    </row>
    <row r="48" customFormat="false" ht="15" hidden="false" customHeight="false" outlineLevel="0" collapsed="false">
      <c r="A48" s="8" t="s">
        <v>22</v>
      </c>
      <c r="B48" s="4" t="s">
        <v>23</v>
      </c>
      <c r="C48" s="4" t="n">
        <v>45</v>
      </c>
      <c r="D48" s="4" t="s">
        <v>36</v>
      </c>
      <c r="E48" s="9" t="n">
        <v>0.015</v>
      </c>
      <c r="F48" s="4" t="n">
        <v>0</v>
      </c>
      <c r="G48" s="4" t="n">
        <f aca="false">IF(E48&gt;0.5,1,0)</f>
        <v>0</v>
      </c>
      <c r="H48" s="4" t="str">
        <f aca="false">IF(G48=F48,"match","mismatch")</f>
        <v>match</v>
      </c>
    </row>
    <row r="49" customFormat="false" ht="15" hidden="false" customHeight="false" outlineLevel="0" collapsed="false">
      <c r="A49" s="8" t="s">
        <v>22</v>
      </c>
      <c r="B49" s="4" t="s">
        <v>23</v>
      </c>
      <c r="C49" s="4" t="n">
        <v>46</v>
      </c>
      <c r="D49" s="4" t="s">
        <v>36</v>
      </c>
      <c r="E49" s="9" t="n">
        <v>0.147</v>
      </c>
      <c r="F49" s="4" t="n">
        <v>0</v>
      </c>
      <c r="G49" s="4" t="n">
        <f aca="false">IF(E49&gt;0.5,1,0)</f>
        <v>0</v>
      </c>
      <c r="H49" s="4" t="str">
        <f aca="false">IF(G49=F49,"match","mismatch")</f>
        <v>match</v>
      </c>
    </row>
    <row r="50" customFormat="false" ht="15" hidden="false" customHeight="false" outlineLevel="0" collapsed="false">
      <c r="A50" s="8" t="s">
        <v>22</v>
      </c>
      <c r="B50" s="4" t="s">
        <v>23</v>
      </c>
      <c r="C50" s="4" t="n">
        <v>47</v>
      </c>
      <c r="D50" s="4" t="s">
        <v>40</v>
      </c>
      <c r="E50" s="9" t="n">
        <v>0.02</v>
      </c>
      <c r="F50" s="4" t="n">
        <v>0</v>
      </c>
      <c r="G50" s="4" t="n">
        <f aca="false">IF(E50&gt;0.5,1,0)</f>
        <v>0</v>
      </c>
      <c r="H50" s="4" t="str">
        <f aca="false">IF(G50=F50,"match","mismatch")</f>
        <v>match</v>
      </c>
    </row>
    <row r="51" customFormat="false" ht="15" hidden="false" customHeight="false" outlineLevel="0" collapsed="false">
      <c r="A51" s="8" t="s">
        <v>22</v>
      </c>
      <c r="B51" s="4" t="s">
        <v>23</v>
      </c>
      <c r="C51" s="4" t="n">
        <v>48</v>
      </c>
      <c r="D51" s="4" t="s">
        <v>44</v>
      </c>
      <c r="E51" s="9" t="n">
        <v>0.585</v>
      </c>
      <c r="F51" s="4" t="n">
        <v>1</v>
      </c>
      <c r="G51" s="4" t="n">
        <f aca="false">IF(E51&gt;0.5,1,0)</f>
        <v>1</v>
      </c>
      <c r="H51" s="4" t="str">
        <f aca="false">IF(G51=F51,"match","mismatch")</f>
        <v>match</v>
      </c>
    </row>
    <row r="52" customFormat="false" ht="15" hidden="false" customHeight="false" outlineLevel="0" collapsed="false">
      <c r="A52" s="8" t="s">
        <v>22</v>
      </c>
      <c r="B52" s="4" t="s">
        <v>23</v>
      </c>
      <c r="C52" s="4" t="n">
        <v>49</v>
      </c>
      <c r="D52" s="4" t="s">
        <v>28</v>
      </c>
      <c r="E52" s="9" t="n">
        <v>0.006</v>
      </c>
      <c r="F52" s="4" t="n">
        <v>0</v>
      </c>
      <c r="G52" s="4" t="n">
        <f aca="false">IF(E52&gt;0.5,1,0)</f>
        <v>0</v>
      </c>
      <c r="H52" s="4" t="str">
        <f aca="false">IF(G52=F52,"match","mismatch")</f>
        <v>match</v>
      </c>
    </row>
    <row r="53" customFormat="false" ht="15" hidden="false" customHeight="false" outlineLevel="0" collapsed="false">
      <c r="A53" s="8" t="s">
        <v>22</v>
      </c>
      <c r="B53" s="4" t="s">
        <v>23</v>
      </c>
      <c r="C53" s="4" t="n">
        <v>50</v>
      </c>
      <c r="D53" s="4" t="s">
        <v>35</v>
      </c>
      <c r="E53" s="9" t="n">
        <v>0.828</v>
      </c>
      <c r="F53" s="4" t="n">
        <v>1</v>
      </c>
      <c r="G53" s="4" t="n">
        <f aca="false">IF(E53&gt;0.5,1,0)</f>
        <v>1</v>
      </c>
      <c r="H53" s="4" t="str">
        <f aca="false">IF(G53=F53,"match","mismatch")</f>
        <v>match</v>
      </c>
    </row>
    <row r="54" customFormat="false" ht="15" hidden="false" customHeight="false" outlineLevel="0" collapsed="false">
      <c r="A54" s="8" t="s">
        <v>22</v>
      </c>
      <c r="B54" s="4" t="s">
        <v>23</v>
      </c>
      <c r="C54" s="4" t="n">
        <v>51</v>
      </c>
      <c r="D54" s="4" t="s">
        <v>25</v>
      </c>
      <c r="E54" s="9" t="n">
        <v>0.838</v>
      </c>
      <c r="F54" s="4" t="n">
        <v>1</v>
      </c>
      <c r="G54" s="4" t="n">
        <f aca="false">IF(E54&gt;0.5,1,0)</f>
        <v>1</v>
      </c>
      <c r="H54" s="4" t="str">
        <f aca="false">IF(G54=F54,"match","mismatch")</f>
        <v>match</v>
      </c>
    </row>
    <row r="55" customFormat="false" ht="15" hidden="false" customHeight="false" outlineLevel="0" collapsed="false">
      <c r="A55" s="8" t="s">
        <v>22</v>
      </c>
      <c r="B55" s="4" t="s">
        <v>23</v>
      </c>
      <c r="C55" s="4" t="n">
        <v>52</v>
      </c>
      <c r="D55" s="4" t="s">
        <v>26</v>
      </c>
      <c r="E55" s="9" t="n">
        <v>0.955</v>
      </c>
      <c r="F55" s="4" t="n">
        <v>1</v>
      </c>
      <c r="G55" s="4" t="n">
        <f aca="false">IF(E55&gt;0.5,1,0)</f>
        <v>1</v>
      </c>
      <c r="H55" s="4" t="str">
        <f aca="false">IF(G55=F55,"match","mismatch")</f>
        <v>match</v>
      </c>
    </row>
    <row r="56" customFormat="false" ht="15" hidden="false" customHeight="false" outlineLevel="0" collapsed="false">
      <c r="A56" s="8" t="s">
        <v>22</v>
      </c>
      <c r="B56" s="4" t="s">
        <v>23</v>
      </c>
      <c r="C56" s="4" t="n">
        <v>53</v>
      </c>
      <c r="D56" s="4" t="s">
        <v>28</v>
      </c>
      <c r="E56" s="9" t="n">
        <v>0.855</v>
      </c>
      <c r="F56" s="4" t="n">
        <v>1</v>
      </c>
      <c r="G56" s="4" t="n">
        <f aca="false">IF(E56&gt;0.5,1,0)</f>
        <v>1</v>
      </c>
      <c r="H56" s="4" t="str">
        <f aca="false">IF(G56=F56,"match","mismatch")</f>
        <v>match</v>
      </c>
    </row>
    <row r="57" customFormat="false" ht="15" hidden="false" customHeight="false" outlineLevel="0" collapsed="false">
      <c r="A57" s="8" t="s">
        <v>22</v>
      </c>
      <c r="B57" s="4" t="s">
        <v>23</v>
      </c>
      <c r="C57" s="4" t="n">
        <v>54</v>
      </c>
      <c r="D57" s="4" t="s">
        <v>24</v>
      </c>
      <c r="E57" s="9" t="n">
        <v>0.423</v>
      </c>
      <c r="F57" s="4" t="n">
        <v>0</v>
      </c>
      <c r="G57" s="4" t="n">
        <f aca="false">IF(E57&gt;0.5,1,0)</f>
        <v>0</v>
      </c>
      <c r="H57" s="4" t="str">
        <f aca="false">IF(G57=F57,"match","mismatch")</f>
        <v>match</v>
      </c>
    </row>
    <row r="58" customFormat="false" ht="15" hidden="false" customHeight="false" outlineLevel="0" collapsed="false">
      <c r="A58" s="8" t="s">
        <v>22</v>
      </c>
      <c r="B58" s="4" t="s">
        <v>23</v>
      </c>
      <c r="C58" s="4" t="n">
        <v>55</v>
      </c>
      <c r="D58" s="4" t="s">
        <v>27</v>
      </c>
      <c r="E58" s="9" t="n">
        <v>0.245</v>
      </c>
      <c r="F58" s="4" t="n">
        <v>0</v>
      </c>
      <c r="G58" s="4" t="n">
        <f aca="false">IF(E58&gt;0.5,1,0)</f>
        <v>0</v>
      </c>
      <c r="H58" s="4" t="str">
        <f aca="false">IF(G58=F58,"match","mismatch")</f>
        <v>match</v>
      </c>
    </row>
    <row r="59" customFormat="false" ht="15" hidden="false" customHeight="false" outlineLevel="0" collapsed="false">
      <c r="A59" s="8" t="s">
        <v>22</v>
      </c>
      <c r="B59" s="4" t="s">
        <v>23</v>
      </c>
      <c r="C59" s="4" t="n">
        <v>56</v>
      </c>
      <c r="D59" s="4" t="s">
        <v>29</v>
      </c>
      <c r="E59" s="9" t="n">
        <v>0.124</v>
      </c>
      <c r="F59" s="4" t="n">
        <v>0</v>
      </c>
      <c r="G59" s="4" t="n">
        <f aca="false">IF(E59&gt;0.5,1,0)</f>
        <v>0</v>
      </c>
      <c r="H59" s="4" t="str">
        <f aca="false">IF(G59=F59,"match","mismatch")</f>
        <v>match</v>
      </c>
    </row>
    <row r="60" customFormat="false" ht="15" hidden="false" customHeight="false" outlineLevel="0" collapsed="false">
      <c r="A60" s="8" t="s">
        <v>22</v>
      </c>
      <c r="B60" s="4" t="s">
        <v>23</v>
      </c>
      <c r="C60" s="4" t="n">
        <v>57</v>
      </c>
      <c r="D60" s="4" t="s">
        <v>32</v>
      </c>
      <c r="E60" s="9" t="n">
        <v>0.05</v>
      </c>
      <c r="F60" s="4" t="n">
        <v>0</v>
      </c>
      <c r="G60" s="4" t="n">
        <f aca="false">IF(E60&gt;0.5,1,0)</f>
        <v>0</v>
      </c>
      <c r="H60" s="4" t="str">
        <f aca="false">IF(G60=F60,"match","mismatch")</f>
        <v>match</v>
      </c>
    </row>
    <row r="61" customFormat="false" ht="15" hidden="false" customHeight="false" outlineLevel="0" collapsed="false">
      <c r="A61" s="8" t="s">
        <v>22</v>
      </c>
      <c r="B61" s="4" t="s">
        <v>23</v>
      </c>
      <c r="C61" s="4" t="n">
        <v>58</v>
      </c>
      <c r="D61" s="4" t="s">
        <v>27</v>
      </c>
      <c r="E61" s="9" t="n">
        <v>0.111</v>
      </c>
      <c r="F61" s="4" t="n">
        <v>0</v>
      </c>
      <c r="G61" s="4" t="n">
        <f aca="false">IF(E61&gt;0.5,1,0)</f>
        <v>0</v>
      </c>
      <c r="H61" s="4" t="str">
        <f aca="false">IF(G61=F61,"match","mismatch")</f>
        <v>match</v>
      </c>
    </row>
    <row r="62" customFormat="false" ht="15" hidden="false" customHeight="false" outlineLevel="0" collapsed="false">
      <c r="A62" s="8" t="s">
        <v>38</v>
      </c>
      <c r="B62" s="4" t="s">
        <v>39</v>
      </c>
      <c r="C62" s="4" t="n">
        <v>1</v>
      </c>
      <c r="D62" s="4" t="s">
        <v>44</v>
      </c>
      <c r="E62" s="9" t="n">
        <v>0.001</v>
      </c>
      <c r="F62" s="4" t="n">
        <v>0</v>
      </c>
      <c r="G62" s="4" t="n">
        <f aca="false">IF(E62&gt;0.5,1,0)</f>
        <v>0</v>
      </c>
      <c r="H62" s="4" t="str">
        <f aca="false">IF(G62=F62,"match","mismatch")</f>
        <v>match</v>
      </c>
    </row>
    <row r="63" customFormat="false" ht="15" hidden="false" customHeight="false" outlineLevel="0" collapsed="false">
      <c r="A63" s="8" t="s">
        <v>38</v>
      </c>
      <c r="B63" s="4" t="s">
        <v>39</v>
      </c>
      <c r="C63" s="4" t="n">
        <v>2</v>
      </c>
      <c r="D63" s="4" t="s">
        <v>30</v>
      </c>
      <c r="E63" s="9" t="n">
        <v>0.004</v>
      </c>
      <c r="F63" s="4" t="n">
        <v>0</v>
      </c>
      <c r="G63" s="4" t="n">
        <f aca="false">IF(E63&gt;0.5,1,0)</f>
        <v>0</v>
      </c>
      <c r="H63" s="4" t="str">
        <f aca="false">IF(G63=F63,"match","mismatch")</f>
        <v>match</v>
      </c>
    </row>
    <row r="64" customFormat="false" ht="15" hidden="false" customHeight="false" outlineLevel="0" collapsed="false">
      <c r="A64" s="8" t="s">
        <v>38</v>
      </c>
      <c r="B64" s="4" t="s">
        <v>39</v>
      </c>
      <c r="C64" s="4" t="n">
        <v>3</v>
      </c>
      <c r="D64" s="4" t="s">
        <v>32</v>
      </c>
      <c r="E64" s="9" t="n">
        <v>0.003</v>
      </c>
      <c r="F64" s="4" t="n">
        <v>0</v>
      </c>
      <c r="G64" s="4" t="n">
        <f aca="false">IF(E64&gt;0.5,1,0)</f>
        <v>0</v>
      </c>
      <c r="H64" s="4" t="str">
        <f aca="false">IF(G64=F64,"match","mismatch")</f>
        <v>match</v>
      </c>
    </row>
    <row r="65" customFormat="false" ht="15" hidden="false" customHeight="false" outlineLevel="0" collapsed="false">
      <c r="A65" s="8" t="s">
        <v>38</v>
      </c>
      <c r="B65" s="4" t="s">
        <v>39</v>
      </c>
      <c r="C65" s="4" t="n">
        <v>4</v>
      </c>
      <c r="D65" s="4" t="s">
        <v>28</v>
      </c>
      <c r="E65" s="9" t="n">
        <v>0.015</v>
      </c>
      <c r="F65" s="4" t="n">
        <v>0</v>
      </c>
      <c r="G65" s="4" t="n">
        <f aca="false">IF(E65&gt;0.5,1,0)</f>
        <v>0</v>
      </c>
      <c r="H65" s="4" t="str">
        <f aca="false">IF(G65=F65,"match","mismatch")</f>
        <v>match</v>
      </c>
    </row>
    <row r="66" customFormat="false" ht="15" hidden="false" customHeight="false" outlineLevel="0" collapsed="false">
      <c r="A66" s="8" t="s">
        <v>38</v>
      </c>
      <c r="B66" s="4" t="s">
        <v>39</v>
      </c>
      <c r="C66" s="4" t="n">
        <v>5</v>
      </c>
      <c r="D66" s="4" t="s">
        <v>24</v>
      </c>
      <c r="E66" s="9" t="n">
        <v>0.005</v>
      </c>
      <c r="F66" s="4" t="n">
        <v>0</v>
      </c>
      <c r="G66" s="4" t="n">
        <f aca="false">IF(E66&gt;0.5,1,0)</f>
        <v>0</v>
      </c>
      <c r="H66" s="4" t="str">
        <f aca="false">IF(G66=F66,"match","mismatch")</f>
        <v>match</v>
      </c>
    </row>
    <row r="67" customFormat="false" ht="15" hidden="false" customHeight="false" outlineLevel="0" collapsed="false">
      <c r="A67" s="8" t="s">
        <v>38</v>
      </c>
      <c r="B67" s="4" t="s">
        <v>39</v>
      </c>
      <c r="C67" s="4" t="n">
        <v>6</v>
      </c>
      <c r="D67" s="4" t="s">
        <v>27</v>
      </c>
      <c r="E67" s="9" t="n">
        <v>0.887</v>
      </c>
      <c r="F67" s="4" t="n">
        <v>1</v>
      </c>
      <c r="G67" s="4" t="n">
        <f aca="false">IF(E67&gt;0.5,1,0)</f>
        <v>1</v>
      </c>
      <c r="H67" s="4" t="str">
        <f aca="false">IF(G67=F67,"match","mismatch")</f>
        <v>match</v>
      </c>
    </row>
    <row r="68" customFormat="false" ht="15" hidden="false" customHeight="false" outlineLevel="0" collapsed="false">
      <c r="A68" s="8" t="s">
        <v>38</v>
      </c>
      <c r="B68" s="4" t="s">
        <v>39</v>
      </c>
      <c r="C68" s="4" t="n">
        <v>7</v>
      </c>
      <c r="D68" s="4" t="s">
        <v>41</v>
      </c>
      <c r="E68" s="9" t="n">
        <v>0.745</v>
      </c>
      <c r="F68" s="4" t="n">
        <v>1</v>
      </c>
      <c r="G68" s="4" t="n">
        <f aca="false">IF(E68&gt;0.5,1,0)</f>
        <v>1</v>
      </c>
      <c r="H68" s="4" t="str">
        <f aca="false">IF(G68=F68,"match","mismatch")</f>
        <v>match</v>
      </c>
    </row>
    <row r="69" customFormat="false" ht="15" hidden="false" customHeight="false" outlineLevel="0" collapsed="false">
      <c r="A69" s="8" t="s">
        <v>38</v>
      </c>
      <c r="B69" s="4" t="s">
        <v>39</v>
      </c>
      <c r="C69" s="4" t="n">
        <v>8</v>
      </c>
      <c r="D69" s="4" t="s">
        <v>33</v>
      </c>
      <c r="E69" s="9" t="n">
        <v>0.898</v>
      </c>
      <c r="F69" s="4" t="n">
        <v>1</v>
      </c>
      <c r="G69" s="4" t="n">
        <f aca="false">IF(E69&gt;0.5,1,0)</f>
        <v>1</v>
      </c>
      <c r="H69" s="4" t="str">
        <f aca="false">IF(G69=F69,"match","mismatch")</f>
        <v>match</v>
      </c>
    </row>
    <row r="70" customFormat="false" ht="15" hidden="false" customHeight="false" outlineLevel="0" collapsed="false">
      <c r="A70" s="8" t="s">
        <v>38</v>
      </c>
      <c r="B70" s="4" t="s">
        <v>39</v>
      </c>
      <c r="C70" s="4" t="n">
        <v>9</v>
      </c>
      <c r="D70" s="4" t="s">
        <v>41</v>
      </c>
      <c r="E70" s="9" t="n">
        <v>0.712</v>
      </c>
      <c r="F70" s="4" t="n">
        <v>1</v>
      </c>
      <c r="G70" s="4" t="n">
        <f aca="false">IF(E70&gt;0.5,1,0)</f>
        <v>1</v>
      </c>
      <c r="H70" s="4" t="str">
        <f aca="false">IF(G70=F70,"match","mismatch")</f>
        <v>match</v>
      </c>
    </row>
    <row r="71" customFormat="false" ht="15" hidden="false" customHeight="false" outlineLevel="0" collapsed="false">
      <c r="A71" s="8" t="s">
        <v>38</v>
      </c>
      <c r="B71" s="4" t="s">
        <v>39</v>
      </c>
      <c r="C71" s="4" t="n">
        <v>10</v>
      </c>
      <c r="D71" s="4" t="s">
        <v>40</v>
      </c>
      <c r="E71" s="9" t="n">
        <v>0.554</v>
      </c>
      <c r="F71" s="4" t="n">
        <v>1</v>
      </c>
      <c r="G71" s="4" t="n">
        <f aca="false">IF(E71&gt;0.5,1,0)</f>
        <v>1</v>
      </c>
      <c r="H71" s="4" t="str">
        <f aca="false">IF(G71=F71,"match","mismatch")</f>
        <v>match</v>
      </c>
    </row>
    <row r="72" customFormat="false" ht="15" hidden="false" customHeight="false" outlineLevel="0" collapsed="false">
      <c r="A72" s="8" t="s">
        <v>38</v>
      </c>
      <c r="B72" s="4" t="s">
        <v>39</v>
      </c>
      <c r="C72" s="4" t="n">
        <v>11</v>
      </c>
      <c r="D72" s="4" t="s">
        <v>27</v>
      </c>
      <c r="E72" s="9" t="n">
        <v>0.311</v>
      </c>
      <c r="F72" s="4" t="n">
        <v>1</v>
      </c>
      <c r="G72" s="4" t="n">
        <f aca="false">IF(E72&gt;0.5,1,0)</f>
        <v>0</v>
      </c>
      <c r="H72" s="4" t="str">
        <f aca="false">IF(G72=F72,"match","mismatch")</f>
        <v>mismatch</v>
      </c>
    </row>
    <row r="73" customFormat="false" ht="15" hidden="false" customHeight="false" outlineLevel="0" collapsed="false">
      <c r="A73" s="8" t="s">
        <v>38</v>
      </c>
      <c r="B73" s="4" t="s">
        <v>39</v>
      </c>
      <c r="C73" s="4" t="n">
        <v>12</v>
      </c>
      <c r="D73" s="4" t="s">
        <v>41</v>
      </c>
      <c r="E73" s="9" t="n">
        <v>0.009</v>
      </c>
      <c r="F73" s="4" t="n">
        <v>1</v>
      </c>
      <c r="G73" s="4" t="n">
        <f aca="false">IF(E73&gt;0.5,1,0)</f>
        <v>0</v>
      </c>
      <c r="H73" s="4" t="str">
        <f aca="false">IF(G73=F73,"match","mismatch")</f>
        <v>mismatch</v>
      </c>
    </row>
    <row r="74" customFormat="false" ht="15" hidden="false" customHeight="false" outlineLevel="0" collapsed="false">
      <c r="A74" s="8" t="s">
        <v>38</v>
      </c>
      <c r="B74" s="4" t="s">
        <v>39</v>
      </c>
      <c r="C74" s="4" t="n">
        <v>13</v>
      </c>
      <c r="D74" s="4" t="s">
        <v>32</v>
      </c>
      <c r="E74" s="9" t="n">
        <v>0.007</v>
      </c>
      <c r="F74" s="4" t="n">
        <v>0</v>
      </c>
      <c r="G74" s="4" t="n">
        <f aca="false">IF(E74&gt;0.5,1,0)</f>
        <v>0</v>
      </c>
      <c r="H74" s="4" t="str">
        <f aca="false">IF(G74=F74,"match","mismatch")</f>
        <v>match</v>
      </c>
    </row>
    <row r="75" customFormat="false" ht="15" hidden="false" customHeight="false" outlineLevel="0" collapsed="false">
      <c r="A75" s="8" t="s">
        <v>38</v>
      </c>
      <c r="B75" s="4" t="s">
        <v>39</v>
      </c>
      <c r="C75" s="4" t="n">
        <v>14</v>
      </c>
      <c r="D75" s="4" t="s">
        <v>41</v>
      </c>
      <c r="E75" s="9" t="n">
        <v>0.005</v>
      </c>
      <c r="F75" s="4" t="n">
        <v>0</v>
      </c>
      <c r="G75" s="4" t="n">
        <f aca="false">IF(E75&gt;0.5,1,0)</f>
        <v>0</v>
      </c>
      <c r="H75" s="4" t="str">
        <f aca="false">IF(G75=F75,"match","mismatch")</f>
        <v>match</v>
      </c>
    </row>
    <row r="76" customFormat="false" ht="15" hidden="false" customHeight="false" outlineLevel="0" collapsed="false">
      <c r="A76" s="8" t="s">
        <v>38</v>
      </c>
      <c r="B76" s="4" t="s">
        <v>39</v>
      </c>
      <c r="C76" s="4" t="n">
        <v>15</v>
      </c>
      <c r="D76" s="4" t="s">
        <v>33</v>
      </c>
      <c r="E76" s="9" t="n">
        <v>0.002</v>
      </c>
      <c r="F76" s="4" t="n">
        <v>0</v>
      </c>
      <c r="G76" s="4" t="n">
        <f aca="false">IF(E76&gt;0.5,1,0)</f>
        <v>0</v>
      </c>
      <c r="H76" s="4" t="str">
        <f aca="false">IF(G76=F76,"match","mismatch")</f>
        <v>match</v>
      </c>
    </row>
    <row r="77" customFormat="false" ht="15" hidden="false" customHeight="false" outlineLevel="0" collapsed="false">
      <c r="A77" s="8" t="s">
        <v>38</v>
      </c>
      <c r="B77" s="4" t="s">
        <v>39</v>
      </c>
      <c r="C77" s="4" t="n">
        <v>16</v>
      </c>
      <c r="D77" s="4" t="s">
        <v>29</v>
      </c>
      <c r="E77" s="9" t="n">
        <v>0.003</v>
      </c>
      <c r="F77" s="4" t="n">
        <v>0</v>
      </c>
      <c r="G77" s="4" t="n">
        <f aca="false">IF(E77&gt;0.5,1,0)</f>
        <v>0</v>
      </c>
      <c r="H77" s="4" t="str">
        <f aca="false">IF(G77=F77,"match","mismatch")</f>
        <v>match</v>
      </c>
    </row>
    <row r="78" customFormat="false" ht="15" hidden="false" customHeight="false" outlineLevel="0" collapsed="false">
      <c r="A78" s="8" t="s">
        <v>38</v>
      </c>
      <c r="B78" s="4" t="s">
        <v>39</v>
      </c>
      <c r="C78" s="4" t="n">
        <v>17</v>
      </c>
      <c r="D78" s="4" t="s">
        <v>24</v>
      </c>
      <c r="E78" s="9" t="n">
        <v>0.002</v>
      </c>
      <c r="F78" s="4" t="n">
        <v>0</v>
      </c>
      <c r="G78" s="4" t="n">
        <f aca="false">IF(E78&gt;0.5,1,0)</f>
        <v>0</v>
      </c>
      <c r="H78" s="4" t="str">
        <f aca="false">IF(G78=F78,"match","mismatch")</f>
        <v>match</v>
      </c>
    </row>
    <row r="79" customFormat="false" ht="15" hidden="false" customHeight="false" outlineLevel="0" collapsed="false">
      <c r="A79" s="8" t="s">
        <v>38</v>
      </c>
      <c r="B79" s="4" t="s">
        <v>39</v>
      </c>
      <c r="C79" s="4" t="n">
        <v>18</v>
      </c>
      <c r="D79" s="4" t="s">
        <v>29</v>
      </c>
      <c r="E79" s="9" t="n">
        <v>0.002</v>
      </c>
      <c r="F79" s="4" t="n">
        <v>0</v>
      </c>
      <c r="G79" s="4" t="n">
        <f aca="false">IF(E79&gt;0.5,1,0)</f>
        <v>0</v>
      </c>
      <c r="H79" s="4" t="str">
        <f aca="false">IF(G79=F79,"match","mismatch")</f>
        <v>match</v>
      </c>
    </row>
    <row r="80" customFormat="false" ht="15" hidden="false" customHeight="false" outlineLevel="0" collapsed="false">
      <c r="A80" s="8" t="s">
        <v>38</v>
      </c>
      <c r="B80" s="4" t="s">
        <v>39</v>
      </c>
      <c r="C80" s="4" t="n">
        <v>19</v>
      </c>
      <c r="D80" s="4" t="s">
        <v>35</v>
      </c>
      <c r="E80" s="9" t="n">
        <v>0.002</v>
      </c>
      <c r="F80" s="4" t="n">
        <v>0</v>
      </c>
      <c r="G80" s="4" t="n">
        <f aca="false">IF(E80&gt;0.5,1,0)</f>
        <v>0</v>
      </c>
      <c r="H80" s="4" t="str">
        <f aca="false">IF(G80=F80,"match","mismatch")</f>
        <v>match</v>
      </c>
    </row>
    <row r="81" customFormat="false" ht="15" hidden="false" customHeight="false" outlineLevel="0" collapsed="false">
      <c r="A81" s="8" t="s">
        <v>38</v>
      </c>
      <c r="B81" s="4" t="s">
        <v>39</v>
      </c>
      <c r="C81" s="4" t="n">
        <v>20</v>
      </c>
      <c r="D81" s="4" t="s">
        <v>37</v>
      </c>
      <c r="E81" s="9" t="n">
        <v>0.001</v>
      </c>
      <c r="F81" s="4" t="n">
        <v>0</v>
      </c>
      <c r="G81" s="4" t="n">
        <f aca="false">IF(E81&gt;0.5,1,0)</f>
        <v>0</v>
      </c>
      <c r="H81" s="4" t="str">
        <f aca="false">IF(G81=F81,"match","mismatch")</f>
        <v>match</v>
      </c>
    </row>
    <row r="82" customFormat="false" ht="15" hidden="false" customHeight="false" outlineLevel="0" collapsed="false">
      <c r="A82" s="8" t="s">
        <v>38</v>
      </c>
      <c r="B82" s="4" t="s">
        <v>39</v>
      </c>
      <c r="C82" s="4" t="n">
        <v>21</v>
      </c>
      <c r="D82" s="4" t="s">
        <v>25</v>
      </c>
      <c r="E82" s="9" t="n">
        <v>0.002</v>
      </c>
      <c r="F82" s="4" t="n">
        <v>0</v>
      </c>
      <c r="G82" s="4" t="n">
        <f aca="false">IF(E82&gt;0.5,1,0)</f>
        <v>0</v>
      </c>
      <c r="H82" s="4" t="str">
        <f aca="false">IF(G82=F82,"match","mismatch")</f>
        <v>match</v>
      </c>
    </row>
    <row r="83" customFormat="false" ht="15" hidden="false" customHeight="false" outlineLevel="0" collapsed="false">
      <c r="A83" s="8" t="s">
        <v>38</v>
      </c>
      <c r="B83" s="4" t="s">
        <v>39</v>
      </c>
      <c r="C83" s="4" t="n">
        <v>22</v>
      </c>
      <c r="D83" s="4" t="s">
        <v>41</v>
      </c>
      <c r="E83" s="9" t="n">
        <v>0.001</v>
      </c>
      <c r="F83" s="4" t="n">
        <v>0</v>
      </c>
      <c r="G83" s="4" t="n">
        <f aca="false">IF(E83&gt;0.5,1,0)</f>
        <v>0</v>
      </c>
      <c r="H83" s="4" t="str">
        <f aca="false">IF(G83=F83,"match","mismatch")</f>
        <v>match</v>
      </c>
    </row>
    <row r="84" customFormat="false" ht="15" hidden="false" customHeight="false" outlineLevel="0" collapsed="false">
      <c r="A84" s="8" t="s">
        <v>38</v>
      </c>
      <c r="B84" s="4" t="s">
        <v>39</v>
      </c>
      <c r="C84" s="4" t="n">
        <v>23</v>
      </c>
      <c r="D84" s="4" t="s">
        <v>32</v>
      </c>
      <c r="E84" s="9" t="n">
        <v>0.002</v>
      </c>
      <c r="F84" s="4" t="n">
        <v>0</v>
      </c>
      <c r="G84" s="4" t="n">
        <f aca="false">IF(E84&gt;0.5,1,0)</f>
        <v>0</v>
      </c>
      <c r="H84" s="4" t="str">
        <f aca="false">IF(G84=F84,"match","mismatch")</f>
        <v>match</v>
      </c>
    </row>
    <row r="85" customFormat="false" ht="15" hidden="false" customHeight="false" outlineLevel="0" collapsed="false">
      <c r="A85" s="8" t="s">
        <v>38</v>
      </c>
      <c r="B85" s="4" t="s">
        <v>39</v>
      </c>
      <c r="C85" s="4" t="n">
        <v>24</v>
      </c>
      <c r="D85" s="4" t="s">
        <v>29</v>
      </c>
      <c r="E85" s="9" t="n">
        <v>0.006</v>
      </c>
      <c r="F85" s="4" t="n">
        <v>0</v>
      </c>
      <c r="G85" s="4" t="n">
        <f aca="false">IF(E85&gt;0.5,1,0)</f>
        <v>0</v>
      </c>
      <c r="H85" s="4" t="str">
        <f aca="false">IF(G85=F85,"match","mismatch")</f>
        <v>match</v>
      </c>
    </row>
    <row r="86" customFormat="false" ht="15" hidden="false" customHeight="false" outlineLevel="0" collapsed="false">
      <c r="A86" s="8" t="s">
        <v>38</v>
      </c>
      <c r="B86" s="4" t="s">
        <v>39</v>
      </c>
      <c r="C86" s="4" t="n">
        <v>25</v>
      </c>
      <c r="D86" s="4" t="s">
        <v>26</v>
      </c>
      <c r="E86" s="9" t="n">
        <v>0.001</v>
      </c>
      <c r="F86" s="4" t="n">
        <v>0</v>
      </c>
      <c r="G86" s="4" t="n">
        <f aca="false">IF(E86&gt;0.5,1,0)</f>
        <v>0</v>
      </c>
      <c r="H86" s="4" t="str">
        <f aca="false">IF(G86=F86,"match","mismatch")</f>
        <v>match</v>
      </c>
    </row>
    <row r="87" customFormat="false" ht="15" hidden="false" customHeight="false" outlineLevel="0" collapsed="false">
      <c r="A87" s="8" t="s">
        <v>38</v>
      </c>
      <c r="B87" s="4" t="s">
        <v>39</v>
      </c>
      <c r="C87" s="4" t="n">
        <v>26</v>
      </c>
      <c r="D87" s="4" t="s">
        <v>24</v>
      </c>
      <c r="E87" s="9" t="n">
        <v>0.002</v>
      </c>
      <c r="F87" s="4" t="n">
        <v>0</v>
      </c>
      <c r="G87" s="4" t="n">
        <f aca="false">IF(E87&gt;0.5,1,0)</f>
        <v>0</v>
      </c>
      <c r="H87" s="4" t="str">
        <f aca="false">IF(G87=F87,"match","mismatch")</f>
        <v>match</v>
      </c>
    </row>
    <row r="88" customFormat="false" ht="15" hidden="false" customHeight="false" outlineLevel="0" collapsed="false">
      <c r="A88" s="8" t="s">
        <v>38</v>
      </c>
      <c r="B88" s="4" t="s">
        <v>39</v>
      </c>
      <c r="C88" s="4" t="n">
        <v>27</v>
      </c>
      <c r="D88" s="4" t="s">
        <v>27</v>
      </c>
      <c r="E88" s="9" t="n">
        <v>0.285</v>
      </c>
      <c r="F88" s="4" t="n">
        <v>0</v>
      </c>
      <c r="G88" s="4" t="n">
        <f aca="false">IF(E88&gt;0.5,1,0)</f>
        <v>0</v>
      </c>
      <c r="H88" s="4" t="str">
        <f aca="false">IF(G88=F88,"match","mismatch")</f>
        <v>match</v>
      </c>
    </row>
    <row r="89" customFormat="false" ht="15" hidden="false" customHeight="false" outlineLevel="0" collapsed="false">
      <c r="A89" s="8" t="s">
        <v>38</v>
      </c>
      <c r="B89" s="4" t="s">
        <v>39</v>
      </c>
      <c r="C89" s="4" t="n">
        <v>28</v>
      </c>
      <c r="D89" s="4" t="s">
        <v>23</v>
      </c>
      <c r="E89" s="9" t="n">
        <v>0.004</v>
      </c>
      <c r="F89" s="4" t="n">
        <v>0</v>
      </c>
      <c r="G89" s="4" t="n">
        <f aca="false">IF(E89&gt;0.5,1,0)</f>
        <v>0</v>
      </c>
      <c r="H89" s="4" t="str">
        <f aca="false">IF(G89=F89,"match","mismatch")</f>
        <v>match</v>
      </c>
    </row>
    <row r="90" customFormat="false" ht="15" hidden="false" customHeight="false" outlineLevel="0" collapsed="false">
      <c r="A90" s="8" t="s">
        <v>38</v>
      </c>
      <c r="B90" s="4" t="s">
        <v>39</v>
      </c>
      <c r="C90" s="4" t="n">
        <v>29</v>
      </c>
      <c r="D90" s="4" t="s">
        <v>27</v>
      </c>
      <c r="E90" s="9" t="n">
        <v>0.004</v>
      </c>
      <c r="F90" s="4" t="n">
        <v>0</v>
      </c>
      <c r="G90" s="4" t="n">
        <f aca="false">IF(E90&gt;0.5,1,0)</f>
        <v>0</v>
      </c>
      <c r="H90" s="4" t="str">
        <f aca="false">IF(G90=F90,"match","mismatch")</f>
        <v>match</v>
      </c>
    </row>
    <row r="91" customFormat="false" ht="15" hidden="false" customHeight="false" outlineLevel="0" collapsed="false">
      <c r="A91" s="8" t="s">
        <v>38</v>
      </c>
      <c r="B91" s="4" t="s">
        <v>39</v>
      </c>
      <c r="C91" s="4" t="n">
        <v>30</v>
      </c>
      <c r="D91" s="4" t="s">
        <v>32</v>
      </c>
      <c r="E91" s="9" t="n">
        <v>0.003</v>
      </c>
      <c r="F91" s="4" t="n">
        <v>0</v>
      </c>
      <c r="G91" s="4" t="n">
        <f aca="false">IF(E91&gt;0.5,1,0)</f>
        <v>0</v>
      </c>
      <c r="H91" s="4" t="str">
        <f aca="false">IF(G91=F91,"match","mismatch")</f>
        <v>match</v>
      </c>
    </row>
    <row r="92" customFormat="false" ht="15" hidden="false" customHeight="false" outlineLevel="0" collapsed="false">
      <c r="A92" s="8" t="s">
        <v>38</v>
      </c>
      <c r="B92" s="4" t="s">
        <v>39</v>
      </c>
      <c r="C92" s="4" t="n">
        <v>31</v>
      </c>
      <c r="D92" s="4" t="s">
        <v>30</v>
      </c>
      <c r="E92" s="9" t="n">
        <v>0.006</v>
      </c>
      <c r="F92" s="4" t="n">
        <v>0</v>
      </c>
      <c r="G92" s="4" t="n">
        <f aca="false">IF(E92&gt;0.5,1,0)</f>
        <v>0</v>
      </c>
      <c r="H92" s="4" t="str">
        <f aca="false">IF(G92=F92,"match","mismatch")</f>
        <v>match</v>
      </c>
    </row>
    <row r="93" customFormat="false" ht="15" hidden="false" customHeight="false" outlineLevel="0" collapsed="false">
      <c r="A93" s="8" t="s">
        <v>38</v>
      </c>
      <c r="B93" s="4" t="s">
        <v>39</v>
      </c>
      <c r="C93" s="4" t="n">
        <v>32</v>
      </c>
      <c r="D93" s="4" t="s">
        <v>25</v>
      </c>
      <c r="E93" s="9" t="n">
        <v>0.008</v>
      </c>
      <c r="F93" s="4" t="n">
        <v>0</v>
      </c>
      <c r="G93" s="4" t="n">
        <f aca="false">IF(E93&gt;0.5,1,0)</f>
        <v>0</v>
      </c>
      <c r="H93" s="4" t="str">
        <f aca="false">IF(G93=F93,"match","mismatch")</f>
        <v>match</v>
      </c>
    </row>
    <row r="94" customFormat="false" ht="15" hidden="false" customHeight="false" outlineLevel="0" collapsed="false">
      <c r="A94" s="8" t="s">
        <v>38</v>
      </c>
      <c r="B94" s="4" t="s">
        <v>39</v>
      </c>
      <c r="C94" s="4" t="n">
        <v>33</v>
      </c>
      <c r="D94" s="4" t="s">
        <v>27</v>
      </c>
      <c r="E94" s="9" t="n">
        <v>0.01</v>
      </c>
      <c r="F94" s="4" t="n">
        <v>0</v>
      </c>
      <c r="G94" s="4" t="n">
        <f aca="false">IF(E94&gt;0.5,1,0)</f>
        <v>0</v>
      </c>
      <c r="H94" s="4" t="str">
        <f aca="false">IF(G94=F94,"match","mismatch")</f>
        <v>match</v>
      </c>
    </row>
    <row r="95" customFormat="false" ht="15" hidden="false" customHeight="false" outlineLevel="0" collapsed="false">
      <c r="A95" s="8" t="s">
        <v>38</v>
      </c>
      <c r="B95" s="4" t="s">
        <v>39</v>
      </c>
      <c r="C95" s="4" t="n">
        <v>34</v>
      </c>
      <c r="D95" s="4" t="s">
        <v>29</v>
      </c>
      <c r="E95" s="9" t="n">
        <v>0.375</v>
      </c>
      <c r="F95" s="4" t="n">
        <v>0</v>
      </c>
      <c r="G95" s="4" t="n">
        <f aca="false">IF(E95&gt;0.5,1,0)</f>
        <v>0</v>
      </c>
      <c r="H95" s="4" t="str">
        <f aca="false">IF(G95=F95,"match","mismatch")</f>
        <v>match</v>
      </c>
    </row>
    <row r="96" customFormat="false" ht="15" hidden="false" customHeight="false" outlineLevel="0" collapsed="false">
      <c r="A96" s="8" t="s">
        <v>38</v>
      </c>
      <c r="B96" s="4" t="s">
        <v>39</v>
      </c>
      <c r="C96" s="4" t="n">
        <v>35</v>
      </c>
      <c r="D96" s="4" t="s">
        <v>40</v>
      </c>
      <c r="E96" s="9" t="n">
        <v>0.021</v>
      </c>
      <c r="F96" s="4" t="n">
        <v>0</v>
      </c>
      <c r="G96" s="4" t="n">
        <f aca="false">IF(E96&gt;0.5,1,0)</f>
        <v>0</v>
      </c>
      <c r="H96" s="4" t="str">
        <f aca="false">IF(G96=F96,"match","mismatch")</f>
        <v>match</v>
      </c>
    </row>
    <row r="97" customFormat="false" ht="15" hidden="false" customHeight="false" outlineLevel="0" collapsed="false">
      <c r="A97" s="8" t="s">
        <v>38</v>
      </c>
      <c r="B97" s="4" t="s">
        <v>39</v>
      </c>
      <c r="C97" s="4" t="n">
        <v>36</v>
      </c>
      <c r="D97" s="4" t="s">
        <v>32</v>
      </c>
      <c r="E97" s="9" t="n">
        <v>0.277</v>
      </c>
      <c r="F97" s="4" t="n">
        <v>0</v>
      </c>
      <c r="G97" s="4" t="n">
        <f aca="false">IF(E97&gt;0.5,1,0)</f>
        <v>0</v>
      </c>
      <c r="H97" s="4" t="str">
        <f aca="false">IF(G97=F97,"match","mismatch")</f>
        <v>match</v>
      </c>
    </row>
    <row r="98" customFormat="false" ht="15" hidden="false" customHeight="false" outlineLevel="0" collapsed="false">
      <c r="A98" s="8" t="s">
        <v>38</v>
      </c>
      <c r="B98" s="4" t="s">
        <v>39</v>
      </c>
      <c r="C98" s="4" t="n">
        <v>37</v>
      </c>
      <c r="D98" s="4" t="s">
        <v>35</v>
      </c>
      <c r="E98" s="9" t="n">
        <v>0.021</v>
      </c>
      <c r="F98" s="4" t="n">
        <v>0</v>
      </c>
      <c r="G98" s="4" t="n">
        <f aca="false">IF(E98&gt;0.5,1,0)</f>
        <v>0</v>
      </c>
      <c r="H98" s="4" t="str">
        <f aca="false">IF(G98=F98,"match","mismatch")</f>
        <v>match</v>
      </c>
    </row>
    <row r="99" customFormat="false" ht="15" hidden="false" customHeight="false" outlineLevel="0" collapsed="false">
      <c r="A99" s="8" t="s">
        <v>38</v>
      </c>
      <c r="B99" s="4" t="s">
        <v>39</v>
      </c>
      <c r="C99" s="4" t="n">
        <v>38</v>
      </c>
      <c r="D99" s="4" t="s">
        <v>35</v>
      </c>
      <c r="E99" s="9" t="n">
        <v>0.266</v>
      </c>
      <c r="F99" s="4" t="n">
        <v>0</v>
      </c>
      <c r="G99" s="4" t="n">
        <f aca="false">IF(E99&gt;0.5,1,0)</f>
        <v>0</v>
      </c>
      <c r="H99" s="4" t="str">
        <f aca="false">IF(G99=F99,"match","mismatch")</f>
        <v>match</v>
      </c>
    </row>
    <row r="100" customFormat="false" ht="15" hidden="false" customHeight="false" outlineLevel="0" collapsed="false">
      <c r="A100" s="8" t="s">
        <v>38</v>
      </c>
      <c r="B100" s="4" t="s">
        <v>39</v>
      </c>
      <c r="C100" s="4" t="n">
        <v>39</v>
      </c>
      <c r="D100" s="4" t="s">
        <v>25</v>
      </c>
      <c r="E100" s="9" t="n">
        <v>0.328</v>
      </c>
      <c r="F100" s="4" t="n">
        <v>0</v>
      </c>
      <c r="G100" s="4" t="n">
        <f aca="false">IF(E100&gt;0.5,1,0)</f>
        <v>0</v>
      </c>
      <c r="H100" s="4" t="str">
        <f aca="false">IF(G100=F100,"match","mismatch")</f>
        <v>match</v>
      </c>
    </row>
    <row r="101" customFormat="false" ht="15" hidden="false" customHeight="false" outlineLevel="0" collapsed="false">
      <c r="A101" s="8" t="s">
        <v>38</v>
      </c>
      <c r="B101" s="4" t="s">
        <v>39</v>
      </c>
      <c r="C101" s="4" t="n">
        <v>40</v>
      </c>
      <c r="D101" s="4" t="s">
        <v>30</v>
      </c>
      <c r="E101" s="9" t="n">
        <v>0.216</v>
      </c>
      <c r="F101" s="4" t="n">
        <v>0</v>
      </c>
      <c r="G101" s="4" t="n">
        <f aca="false">IF(E101&gt;0.5,1,0)</f>
        <v>0</v>
      </c>
      <c r="H101" s="4" t="str">
        <f aca="false">IF(G101=F101,"match","mismatch")</f>
        <v>match</v>
      </c>
    </row>
    <row r="102" customFormat="false" ht="15" hidden="false" customHeight="false" outlineLevel="0" collapsed="false">
      <c r="A102" s="8" t="s">
        <v>38</v>
      </c>
      <c r="B102" s="4" t="s">
        <v>39</v>
      </c>
      <c r="C102" s="4" t="n">
        <v>41</v>
      </c>
      <c r="D102" s="4" t="s">
        <v>30</v>
      </c>
      <c r="E102" s="9" t="n">
        <v>0.429</v>
      </c>
      <c r="F102" s="4" t="n">
        <v>0</v>
      </c>
      <c r="G102" s="4" t="n">
        <f aca="false">IF(E102&gt;0.5,1,0)</f>
        <v>0</v>
      </c>
      <c r="H102" s="4" t="str">
        <f aca="false">IF(G102=F102,"match","mismatch")</f>
        <v>match</v>
      </c>
    </row>
    <row r="103" customFormat="false" ht="15" hidden="false" customHeight="false" outlineLevel="0" collapsed="false">
      <c r="A103" s="8" t="s">
        <v>38</v>
      </c>
      <c r="B103" s="4" t="s">
        <v>39</v>
      </c>
      <c r="C103" s="4" t="n">
        <v>42</v>
      </c>
      <c r="D103" s="4" t="s">
        <v>36</v>
      </c>
      <c r="E103" s="9" t="n">
        <v>0.601</v>
      </c>
      <c r="F103" s="4" t="n">
        <v>1</v>
      </c>
      <c r="G103" s="4" t="n">
        <f aca="false">IF(E103&gt;0.5,1,0)</f>
        <v>1</v>
      </c>
      <c r="H103" s="4" t="str">
        <f aca="false">IF(G103=F103,"match","mismatch")</f>
        <v>match</v>
      </c>
    </row>
    <row r="104" customFormat="false" ht="15" hidden="false" customHeight="false" outlineLevel="0" collapsed="false">
      <c r="A104" s="8" t="s">
        <v>38</v>
      </c>
      <c r="B104" s="4" t="s">
        <v>39</v>
      </c>
      <c r="C104" s="4" t="n">
        <v>43</v>
      </c>
      <c r="D104" s="4" t="s">
        <v>33</v>
      </c>
      <c r="E104" s="9" t="n">
        <v>0.024</v>
      </c>
      <c r="F104" s="4" t="n">
        <v>0</v>
      </c>
      <c r="G104" s="4" t="n">
        <f aca="false">IF(E104&gt;0.5,1,0)</f>
        <v>0</v>
      </c>
      <c r="H104" s="4" t="str">
        <f aca="false">IF(G104=F104,"match","mismatch")</f>
        <v>match</v>
      </c>
    </row>
    <row r="105" customFormat="false" ht="15" hidden="false" customHeight="false" outlineLevel="0" collapsed="false">
      <c r="A105" s="8" t="s">
        <v>38</v>
      </c>
      <c r="B105" s="4" t="s">
        <v>39</v>
      </c>
      <c r="C105" s="4" t="n">
        <v>44</v>
      </c>
      <c r="D105" s="4" t="s">
        <v>32</v>
      </c>
      <c r="E105" s="9" t="n">
        <v>0.902</v>
      </c>
      <c r="F105" s="4" t="n">
        <v>1</v>
      </c>
      <c r="G105" s="4" t="n">
        <f aca="false">IF(E105&gt;0.5,1,0)</f>
        <v>1</v>
      </c>
      <c r="H105" s="4" t="str">
        <f aca="false">IF(G105=F105,"match","mismatch")</f>
        <v>match</v>
      </c>
    </row>
    <row r="106" customFormat="false" ht="15" hidden="false" customHeight="false" outlineLevel="0" collapsed="false">
      <c r="A106" s="8" t="s">
        <v>38</v>
      </c>
      <c r="B106" s="4" t="s">
        <v>39</v>
      </c>
      <c r="C106" s="4" t="n">
        <v>45</v>
      </c>
      <c r="D106" s="4" t="s">
        <v>28</v>
      </c>
      <c r="E106" s="9" t="n">
        <v>0.252</v>
      </c>
      <c r="F106" s="4" t="n">
        <v>1</v>
      </c>
      <c r="G106" s="4" t="n">
        <f aca="false">IF(E106&gt;0.5,1,0)</f>
        <v>0</v>
      </c>
      <c r="H106" s="4" t="str">
        <f aca="false">IF(G106=F106,"match","mismatch")</f>
        <v>mismatch</v>
      </c>
    </row>
    <row r="107" customFormat="false" ht="15" hidden="false" customHeight="false" outlineLevel="0" collapsed="false">
      <c r="A107" s="8" t="s">
        <v>38</v>
      </c>
      <c r="B107" s="4" t="s">
        <v>39</v>
      </c>
      <c r="C107" s="4" t="n">
        <v>46</v>
      </c>
      <c r="D107" s="4" t="s">
        <v>23</v>
      </c>
      <c r="E107" s="9" t="n">
        <v>0.884</v>
      </c>
      <c r="F107" s="4" t="n">
        <v>1</v>
      </c>
      <c r="G107" s="4" t="n">
        <f aca="false">IF(E107&gt;0.5,1,0)</f>
        <v>1</v>
      </c>
      <c r="H107" s="4" t="str">
        <f aca="false">IF(G107=F107,"match","mismatch")</f>
        <v>match</v>
      </c>
    </row>
    <row r="108" customFormat="false" ht="15" hidden="false" customHeight="false" outlineLevel="0" collapsed="false">
      <c r="A108" s="8" t="s">
        <v>38</v>
      </c>
      <c r="B108" s="4" t="s">
        <v>39</v>
      </c>
      <c r="C108" s="4" t="n">
        <v>47</v>
      </c>
      <c r="D108" s="4" t="s">
        <v>40</v>
      </c>
      <c r="E108" s="9" t="n">
        <v>0.907</v>
      </c>
      <c r="F108" s="4" t="n">
        <v>1</v>
      </c>
      <c r="G108" s="4" t="n">
        <f aca="false">IF(E108&gt;0.5,1,0)</f>
        <v>1</v>
      </c>
      <c r="H108" s="4" t="str">
        <f aca="false">IF(G108=F108,"match","mismatch")</f>
        <v>match</v>
      </c>
    </row>
    <row r="109" customFormat="false" ht="15" hidden="false" customHeight="false" outlineLevel="0" collapsed="false">
      <c r="A109" s="8" t="s">
        <v>38</v>
      </c>
      <c r="B109" s="4" t="s">
        <v>39</v>
      </c>
      <c r="C109" s="4" t="n">
        <v>48</v>
      </c>
      <c r="D109" s="4" t="s">
        <v>27</v>
      </c>
      <c r="E109" s="9" t="n">
        <v>0.295</v>
      </c>
      <c r="F109" s="4" t="n">
        <v>1</v>
      </c>
      <c r="G109" s="4" t="n">
        <f aca="false">IF(E109&gt;0.5,1,0)</f>
        <v>0</v>
      </c>
      <c r="H109" s="4" t="str">
        <f aca="false">IF(G109=F109,"match","mismatch")</f>
        <v>mismatch</v>
      </c>
    </row>
    <row r="110" customFormat="false" ht="15" hidden="false" customHeight="false" outlineLevel="0" collapsed="false">
      <c r="A110" s="8" t="s">
        <v>38</v>
      </c>
      <c r="B110" s="4" t="s">
        <v>39</v>
      </c>
      <c r="C110" s="4" t="n">
        <v>49</v>
      </c>
      <c r="D110" s="4" t="s">
        <v>30</v>
      </c>
      <c r="E110" s="9" t="n">
        <v>0.561</v>
      </c>
      <c r="F110" s="4" t="n">
        <v>1</v>
      </c>
      <c r="G110" s="4" t="n">
        <f aca="false">IF(E110&gt;0.5,1,0)</f>
        <v>1</v>
      </c>
      <c r="H110" s="4" t="str">
        <f aca="false">IF(G110=F110,"match","mismatch")</f>
        <v>match</v>
      </c>
    </row>
    <row r="111" customFormat="false" ht="15" hidden="false" customHeight="false" outlineLevel="0" collapsed="false">
      <c r="A111" s="8" t="s">
        <v>38</v>
      </c>
      <c r="B111" s="4" t="s">
        <v>39</v>
      </c>
      <c r="C111" s="4" t="n">
        <v>50</v>
      </c>
      <c r="D111" s="4" t="s">
        <v>33</v>
      </c>
      <c r="E111" s="9" t="n">
        <v>0.006</v>
      </c>
      <c r="F111" s="4" t="n">
        <v>0</v>
      </c>
      <c r="G111" s="4" t="n">
        <f aca="false">IF(E111&gt;0.5,1,0)</f>
        <v>0</v>
      </c>
      <c r="H111" s="4" t="str">
        <f aca="false">IF(G111=F111,"match","mismatch")</f>
        <v>match</v>
      </c>
    </row>
    <row r="112" customFormat="false" ht="15" hidden="false" customHeight="false" outlineLevel="0" collapsed="false">
      <c r="A112" s="8" t="s">
        <v>38</v>
      </c>
      <c r="B112" s="4" t="s">
        <v>39</v>
      </c>
      <c r="C112" s="4" t="n">
        <v>51</v>
      </c>
      <c r="D112" s="4" t="s">
        <v>29</v>
      </c>
      <c r="E112" s="9" t="n">
        <v>0.025</v>
      </c>
      <c r="F112" s="4" t="n">
        <v>0</v>
      </c>
      <c r="G112" s="4" t="n">
        <f aca="false">IF(E112&gt;0.5,1,0)</f>
        <v>0</v>
      </c>
      <c r="H112" s="4" t="str">
        <f aca="false">IF(G112=F112,"match","mismatch")</f>
        <v>match</v>
      </c>
    </row>
    <row r="113" customFormat="false" ht="15" hidden="false" customHeight="false" outlineLevel="0" collapsed="false">
      <c r="A113" s="8" t="s">
        <v>38</v>
      </c>
      <c r="B113" s="4" t="s">
        <v>39</v>
      </c>
      <c r="C113" s="4" t="n">
        <v>52</v>
      </c>
      <c r="D113" s="4" t="s">
        <v>25</v>
      </c>
      <c r="E113" s="9" t="n">
        <v>0.008</v>
      </c>
      <c r="F113" s="4" t="n">
        <v>0</v>
      </c>
      <c r="G113" s="4" t="n">
        <f aca="false">IF(E113&gt;0.5,1,0)</f>
        <v>0</v>
      </c>
      <c r="H113" s="4" t="str">
        <f aca="false">IF(G113=F113,"match","mismatch")</f>
        <v>match</v>
      </c>
    </row>
    <row r="114" customFormat="false" ht="15" hidden="false" customHeight="false" outlineLevel="0" collapsed="false">
      <c r="A114" s="8" t="s">
        <v>38</v>
      </c>
      <c r="B114" s="4" t="s">
        <v>39</v>
      </c>
      <c r="C114" s="4" t="n">
        <v>53</v>
      </c>
      <c r="D114" s="4" t="s">
        <v>40</v>
      </c>
      <c r="E114" s="9" t="n">
        <v>0.011</v>
      </c>
      <c r="F114" s="4" t="n">
        <v>0</v>
      </c>
      <c r="G114" s="4" t="n">
        <f aca="false">IF(E114&gt;0.5,1,0)</f>
        <v>0</v>
      </c>
      <c r="H114" s="4" t="str">
        <f aca="false">IF(G114=F114,"match","mismatch")</f>
        <v>match</v>
      </c>
    </row>
    <row r="115" customFormat="false" ht="15" hidden="false" customHeight="false" outlineLevel="0" collapsed="false">
      <c r="A115" s="8" t="s">
        <v>38</v>
      </c>
      <c r="B115" s="4" t="s">
        <v>39</v>
      </c>
      <c r="C115" s="4" t="n">
        <v>54</v>
      </c>
      <c r="D115" s="4" t="s">
        <v>36</v>
      </c>
      <c r="E115" s="9" t="n">
        <v>0.007</v>
      </c>
      <c r="F115" s="4" t="n">
        <v>0</v>
      </c>
      <c r="G115" s="4" t="n">
        <f aca="false">IF(E115&gt;0.5,1,0)</f>
        <v>0</v>
      </c>
      <c r="H115" s="4" t="str">
        <f aca="false">IF(G115=F115,"match","mismatch")</f>
        <v>match</v>
      </c>
    </row>
    <row r="116" customFormat="false" ht="15" hidden="false" customHeight="false" outlineLevel="0" collapsed="false">
      <c r="A116" s="8" t="s">
        <v>38</v>
      </c>
      <c r="B116" s="4" t="s">
        <v>39</v>
      </c>
      <c r="C116" s="4" t="n">
        <v>55</v>
      </c>
      <c r="D116" s="4" t="s">
        <v>41</v>
      </c>
      <c r="E116" s="9" t="n">
        <v>0.001</v>
      </c>
      <c r="F116" s="4" t="n">
        <v>0</v>
      </c>
      <c r="G116" s="4" t="n">
        <f aca="false">IF(E116&gt;0.5,1,0)</f>
        <v>0</v>
      </c>
      <c r="H116" s="4" t="str">
        <f aca="false">IF(G116=F116,"match","mismatch")</f>
        <v>match</v>
      </c>
    </row>
    <row r="117" customFormat="false" ht="15" hidden="false" customHeight="false" outlineLevel="0" collapsed="false">
      <c r="A117" s="8" t="s">
        <v>38</v>
      </c>
      <c r="B117" s="4" t="s">
        <v>39</v>
      </c>
      <c r="C117" s="4" t="n">
        <v>56</v>
      </c>
      <c r="D117" s="4" t="s">
        <v>33</v>
      </c>
      <c r="E117" s="9" t="n">
        <v>0.003</v>
      </c>
      <c r="F117" s="4" t="n">
        <v>0</v>
      </c>
      <c r="G117" s="4" t="n">
        <f aca="false">IF(E117&gt;0.5,1,0)</f>
        <v>0</v>
      </c>
      <c r="H117" s="4" t="str">
        <f aca="false">IF(G117=F117,"match","mismatch")</f>
        <v>match</v>
      </c>
    </row>
    <row r="118" customFormat="false" ht="15" hidden="false" customHeight="false" outlineLevel="0" collapsed="false">
      <c r="A118" s="8" t="s">
        <v>38</v>
      </c>
      <c r="B118" s="4" t="s">
        <v>39</v>
      </c>
      <c r="C118" s="4" t="n">
        <v>57</v>
      </c>
      <c r="D118" s="4" t="s">
        <v>37</v>
      </c>
      <c r="E118" s="9" t="n">
        <v>0.002</v>
      </c>
      <c r="F118" s="4" t="n">
        <v>0</v>
      </c>
      <c r="G118" s="4" t="n">
        <f aca="false">IF(E118&gt;0.5,1,0)</f>
        <v>0</v>
      </c>
      <c r="H118" s="4" t="str">
        <f aca="false">IF(G118=F118,"match","mismatch")</f>
        <v>match</v>
      </c>
    </row>
    <row r="119" customFormat="false" ht="15" hidden="false" customHeight="false" outlineLevel="0" collapsed="false">
      <c r="A119" s="8" t="s">
        <v>38</v>
      </c>
      <c r="B119" s="4" t="s">
        <v>39</v>
      </c>
      <c r="C119" s="4" t="n">
        <v>58</v>
      </c>
      <c r="D119" s="4" t="s">
        <v>25</v>
      </c>
      <c r="E119" s="9" t="n">
        <v>0.003</v>
      </c>
      <c r="F119" s="4" t="n">
        <v>0</v>
      </c>
      <c r="G119" s="4" t="n">
        <f aca="false">IF(E119&gt;0.5,1,0)</f>
        <v>0</v>
      </c>
      <c r="H119" s="4" t="str">
        <f aca="false">IF(G119=F119,"match","mismatch")</f>
        <v>match</v>
      </c>
    </row>
    <row r="120" customFormat="false" ht="15" hidden="false" customHeight="false" outlineLevel="0" collapsed="false">
      <c r="A120" s="8" t="s">
        <v>38</v>
      </c>
      <c r="B120" s="4" t="s">
        <v>39</v>
      </c>
      <c r="C120" s="4" t="n">
        <v>59</v>
      </c>
      <c r="D120" s="4" t="s">
        <v>31</v>
      </c>
      <c r="E120" s="9" t="n">
        <v>0.028</v>
      </c>
      <c r="F120" s="4" t="n">
        <v>0</v>
      </c>
      <c r="G120" s="4" t="n">
        <f aca="false">IF(E120&gt;0.5,1,0)</f>
        <v>0</v>
      </c>
      <c r="H120" s="4" t="str">
        <f aca="false">IF(G120=F120,"match","mismatch")</f>
        <v>match</v>
      </c>
    </row>
    <row r="121" customFormat="false" ht="15" hidden="false" customHeight="false" outlineLevel="0" collapsed="false">
      <c r="A121" s="8" t="s">
        <v>38</v>
      </c>
      <c r="B121" s="4" t="s">
        <v>39</v>
      </c>
      <c r="C121" s="4" t="n">
        <v>60</v>
      </c>
      <c r="D121" s="4" t="s">
        <v>26</v>
      </c>
      <c r="E121" s="9" t="n">
        <v>0.026</v>
      </c>
      <c r="F121" s="4" t="n">
        <v>0</v>
      </c>
      <c r="G121" s="4" t="n">
        <f aca="false">IF(E121&gt;0.5,1,0)</f>
        <v>0</v>
      </c>
      <c r="H121" s="4" t="str">
        <f aca="false">IF(G121=F121,"match","mismatch")</f>
        <v>match</v>
      </c>
    </row>
    <row r="122" customFormat="false" ht="15" hidden="false" customHeight="false" outlineLevel="0" collapsed="false">
      <c r="A122" s="8" t="s">
        <v>38</v>
      </c>
      <c r="B122" s="4" t="s">
        <v>39</v>
      </c>
      <c r="C122" s="4" t="n">
        <v>61</v>
      </c>
      <c r="D122" s="4" t="s">
        <v>32</v>
      </c>
      <c r="E122" s="9" t="n">
        <v>0.012</v>
      </c>
      <c r="F122" s="4" t="n">
        <v>0</v>
      </c>
      <c r="G122" s="4" t="n">
        <f aca="false">IF(E122&gt;0.5,1,0)</f>
        <v>0</v>
      </c>
      <c r="H122" s="4" t="str">
        <f aca="false">IF(G122=F122,"match","mismatch")</f>
        <v>match</v>
      </c>
    </row>
    <row r="123" customFormat="false" ht="15" hidden="false" customHeight="false" outlineLevel="0" collapsed="false">
      <c r="A123" s="8" t="s">
        <v>38</v>
      </c>
      <c r="B123" s="4" t="s">
        <v>39</v>
      </c>
      <c r="C123" s="4" t="n">
        <v>62</v>
      </c>
      <c r="D123" s="4" t="s">
        <v>30</v>
      </c>
      <c r="E123" s="9" t="n">
        <v>0.05</v>
      </c>
      <c r="F123" s="4" t="n">
        <v>0</v>
      </c>
      <c r="G123" s="4" t="n">
        <f aca="false">IF(E123&gt;0.5,1,0)</f>
        <v>0</v>
      </c>
      <c r="H123" s="4" t="str">
        <f aca="false">IF(G123=F123,"match","mismatch")</f>
        <v>match</v>
      </c>
    </row>
    <row r="124" customFormat="false" ht="15" hidden="false" customHeight="false" outlineLevel="0" collapsed="false">
      <c r="A124" s="8" t="s">
        <v>38</v>
      </c>
      <c r="B124" s="4" t="s">
        <v>39</v>
      </c>
      <c r="C124" s="4" t="n">
        <v>63</v>
      </c>
      <c r="D124" s="4" t="s">
        <v>27</v>
      </c>
      <c r="E124" s="9" t="n">
        <v>0.051</v>
      </c>
      <c r="F124" s="4" t="n">
        <v>0</v>
      </c>
      <c r="G124" s="4" t="n">
        <f aca="false">IF(E124&gt;0.5,1,0)</f>
        <v>0</v>
      </c>
      <c r="H124" s="4" t="str">
        <f aca="false">IF(G124=F124,"match","mismatch")</f>
        <v>match</v>
      </c>
    </row>
    <row r="125" customFormat="false" ht="15" hidden="false" customHeight="false" outlineLevel="0" collapsed="false">
      <c r="A125" s="8" t="s">
        <v>38</v>
      </c>
      <c r="B125" s="4" t="s">
        <v>39</v>
      </c>
      <c r="C125" s="4" t="n">
        <v>64</v>
      </c>
      <c r="D125" s="4" t="s">
        <v>29</v>
      </c>
      <c r="E125" s="9" t="n">
        <v>0.052</v>
      </c>
      <c r="F125" s="4" t="n">
        <v>0</v>
      </c>
      <c r="G125" s="4" t="n">
        <f aca="false">IF(E125&gt;0.5,1,0)</f>
        <v>0</v>
      </c>
      <c r="H125" s="4" t="str">
        <f aca="false">IF(G125=F125,"match","mismatch")</f>
        <v>match</v>
      </c>
    </row>
    <row r="126" customFormat="false" ht="15" hidden="false" customHeight="false" outlineLevel="0" collapsed="false">
      <c r="A126" s="8" t="s">
        <v>38</v>
      </c>
      <c r="B126" s="4" t="s">
        <v>39</v>
      </c>
      <c r="C126" s="4" t="n">
        <v>65</v>
      </c>
      <c r="D126" s="4" t="s">
        <v>37</v>
      </c>
      <c r="E126" s="9" t="n">
        <v>0.015</v>
      </c>
      <c r="F126" s="4" t="n">
        <v>0</v>
      </c>
      <c r="G126" s="4" t="n">
        <f aca="false">IF(E126&gt;0.5,1,0)</f>
        <v>0</v>
      </c>
      <c r="H126" s="4" t="str">
        <f aca="false">IF(G126=F126,"match","mismatch")</f>
        <v>match</v>
      </c>
    </row>
    <row r="127" customFormat="false" ht="15" hidden="false" customHeight="false" outlineLevel="0" collapsed="false">
      <c r="A127" s="8" t="s">
        <v>38</v>
      </c>
      <c r="B127" s="4" t="s">
        <v>39</v>
      </c>
      <c r="C127" s="4" t="n">
        <v>66</v>
      </c>
      <c r="D127" s="4" t="s">
        <v>41</v>
      </c>
      <c r="E127" s="9" t="n">
        <v>0.224</v>
      </c>
      <c r="F127" s="4" t="n">
        <v>1</v>
      </c>
      <c r="G127" s="4" t="n">
        <f aca="false">IF(E127&gt;0.5,1,0)</f>
        <v>0</v>
      </c>
      <c r="H127" s="4" t="str">
        <f aca="false">IF(G127=F127,"match","mismatch")</f>
        <v>mismatch</v>
      </c>
    </row>
    <row r="128" customFormat="false" ht="15" hidden="false" customHeight="false" outlineLevel="0" collapsed="false">
      <c r="A128" s="8" t="s">
        <v>38</v>
      </c>
      <c r="B128" s="4" t="s">
        <v>39</v>
      </c>
      <c r="C128" s="4" t="n">
        <v>67</v>
      </c>
      <c r="D128" s="4" t="s">
        <v>33</v>
      </c>
      <c r="E128" s="9" t="n">
        <v>0.019</v>
      </c>
      <c r="F128" s="4" t="n">
        <v>0</v>
      </c>
      <c r="G128" s="4" t="n">
        <f aca="false">IF(E128&gt;0.5,1,0)</f>
        <v>0</v>
      </c>
      <c r="H128" s="4" t="str">
        <f aca="false">IF(G128=F128,"match","mismatch")</f>
        <v>match</v>
      </c>
    </row>
    <row r="129" customFormat="false" ht="15" hidden="false" customHeight="false" outlineLevel="0" collapsed="false">
      <c r="A129" s="8" t="s">
        <v>38</v>
      </c>
      <c r="B129" s="4" t="s">
        <v>39</v>
      </c>
      <c r="C129" s="4" t="n">
        <v>68</v>
      </c>
      <c r="D129" s="4" t="s">
        <v>34</v>
      </c>
      <c r="E129" s="9" t="n">
        <v>0.907</v>
      </c>
      <c r="F129" s="4" t="n">
        <v>1</v>
      </c>
      <c r="G129" s="4" t="n">
        <f aca="false">IF(E129&gt;0.5,1,0)</f>
        <v>1</v>
      </c>
      <c r="H129" s="4" t="str">
        <f aca="false">IF(G129=F129,"match","mismatch")</f>
        <v>match</v>
      </c>
    </row>
    <row r="130" customFormat="false" ht="15" hidden="false" customHeight="false" outlineLevel="0" collapsed="false">
      <c r="A130" s="8" t="s">
        <v>38</v>
      </c>
      <c r="B130" s="4" t="s">
        <v>39</v>
      </c>
      <c r="C130" s="4" t="n">
        <v>69</v>
      </c>
      <c r="D130" s="4" t="s">
        <v>33</v>
      </c>
      <c r="E130" s="9" t="n">
        <v>0.179</v>
      </c>
      <c r="F130" s="4" t="n">
        <v>1</v>
      </c>
      <c r="G130" s="4" t="n">
        <f aca="false">IF(E130&gt;0.5,1,0)</f>
        <v>0</v>
      </c>
      <c r="H130" s="4" t="str">
        <f aca="false">IF(G130=F130,"match","mismatch")</f>
        <v>mismatch</v>
      </c>
    </row>
    <row r="131" customFormat="false" ht="15" hidden="false" customHeight="false" outlineLevel="0" collapsed="false">
      <c r="A131" s="8" t="s">
        <v>38</v>
      </c>
      <c r="B131" s="4" t="s">
        <v>39</v>
      </c>
      <c r="C131" s="4" t="n">
        <v>70</v>
      </c>
      <c r="D131" s="4" t="s">
        <v>24</v>
      </c>
      <c r="E131" s="9" t="n">
        <v>0.873</v>
      </c>
      <c r="F131" s="4" t="n">
        <v>1</v>
      </c>
      <c r="G131" s="4" t="n">
        <f aca="false">IF(E131&gt;0.5,1,0)</f>
        <v>1</v>
      </c>
      <c r="H131" s="4" t="str">
        <f aca="false">IF(G131=F131,"match","mismatch")</f>
        <v>match</v>
      </c>
    </row>
    <row r="132" customFormat="false" ht="15" hidden="false" customHeight="false" outlineLevel="0" collapsed="false">
      <c r="A132" s="8" t="s">
        <v>38</v>
      </c>
      <c r="B132" s="4" t="s">
        <v>39</v>
      </c>
      <c r="C132" s="4" t="n">
        <v>71</v>
      </c>
      <c r="D132" s="4" t="s">
        <v>33</v>
      </c>
      <c r="E132" s="9" t="n">
        <v>0.395</v>
      </c>
      <c r="F132" s="4" t="n">
        <v>1</v>
      </c>
      <c r="G132" s="4" t="n">
        <f aca="false">IF(E132&gt;0.5,1,0)</f>
        <v>0</v>
      </c>
      <c r="H132" s="4" t="str">
        <f aca="false">IF(G132=F132,"match","mismatch")</f>
        <v>mismatch</v>
      </c>
    </row>
    <row r="133" customFormat="false" ht="15" hidden="false" customHeight="false" outlineLevel="0" collapsed="false">
      <c r="A133" s="8" t="s">
        <v>38</v>
      </c>
      <c r="B133" s="4" t="s">
        <v>39</v>
      </c>
      <c r="C133" s="4" t="n">
        <v>72</v>
      </c>
      <c r="D133" s="4" t="s">
        <v>36</v>
      </c>
      <c r="E133" s="9" t="n">
        <v>0.667</v>
      </c>
      <c r="F133" s="4" t="n">
        <v>1</v>
      </c>
      <c r="G133" s="4" t="n">
        <f aca="false">IF(E133&gt;0.5,1,0)</f>
        <v>1</v>
      </c>
      <c r="H133" s="4" t="str">
        <f aca="false">IF(G133=F133,"match","mismatch")</f>
        <v>match</v>
      </c>
    </row>
    <row r="134" customFormat="false" ht="15" hidden="false" customHeight="false" outlineLevel="0" collapsed="false">
      <c r="A134" s="8" t="s">
        <v>38</v>
      </c>
      <c r="B134" s="4" t="s">
        <v>39</v>
      </c>
      <c r="C134" s="4" t="n">
        <v>73</v>
      </c>
      <c r="D134" s="4" t="s">
        <v>33</v>
      </c>
      <c r="E134" s="9" t="n">
        <v>0.655</v>
      </c>
      <c r="F134" s="4" t="n">
        <v>1</v>
      </c>
      <c r="G134" s="4" t="n">
        <f aca="false">IF(E134&gt;0.5,1,0)</f>
        <v>1</v>
      </c>
      <c r="H134" s="4" t="str">
        <f aca="false">IF(G134=F134,"match","mismatch")</f>
        <v>match</v>
      </c>
    </row>
    <row r="135" customFormat="false" ht="15" hidden="false" customHeight="false" outlineLevel="0" collapsed="false">
      <c r="A135" s="8" t="s">
        <v>38</v>
      </c>
      <c r="B135" s="4" t="s">
        <v>39</v>
      </c>
      <c r="C135" s="4" t="n">
        <v>74</v>
      </c>
      <c r="D135" s="4" t="s">
        <v>36</v>
      </c>
      <c r="E135" s="9" t="n">
        <v>0.705</v>
      </c>
      <c r="F135" s="4" t="n">
        <v>1</v>
      </c>
      <c r="G135" s="4" t="n">
        <f aca="false">IF(E135&gt;0.5,1,0)</f>
        <v>1</v>
      </c>
      <c r="H135" s="4" t="str">
        <f aca="false">IF(G135=F135,"match","mismatch")</f>
        <v>match</v>
      </c>
    </row>
    <row r="136" customFormat="false" ht="15" hidden="false" customHeight="false" outlineLevel="0" collapsed="false">
      <c r="A136" s="8" t="s">
        <v>38</v>
      </c>
      <c r="B136" s="4" t="s">
        <v>39</v>
      </c>
      <c r="C136" s="4" t="n">
        <v>75</v>
      </c>
      <c r="D136" s="4" t="s">
        <v>40</v>
      </c>
      <c r="E136" s="9" t="n">
        <v>0.626</v>
      </c>
      <c r="F136" s="4" t="n">
        <v>1</v>
      </c>
      <c r="G136" s="4" t="n">
        <f aca="false">IF(E136&gt;0.5,1,0)</f>
        <v>1</v>
      </c>
      <c r="H136" s="4" t="str">
        <f aca="false">IF(G136=F136,"match","mismatch")</f>
        <v>match</v>
      </c>
    </row>
    <row r="137" customFormat="false" ht="15" hidden="false" customHeight="false" outlineLevel="0" collapsed="false">
      <c r="A137" s="8" t="s">
        <v>38</v>
      </c>
      <c r="B137" s="4" t="s">
        <v>39</v>
      </c>
      <c r="C137" s="4" t="n">
        <v>76</v>
      </c>
      <c r="D137" s="4" t="s">
        <v>40</v>
      </c>
      <c r="E137" s="9" t="n">
        <v>0.213</v>
      </c>
      <c r="F137" s="4" t="n">
        <v>1</v>
      </c>
      <c r="G137" s="4" t="n">
        <f aca="false">IF(E137&gt;0.5,1,0)</f>
        <v>0</v>
      </c>
      <c r="H137" s="4" t="str">
        <f aca="false">IF(G137=F137,"match","mismatch")</f>
        <v>mismatch</v>
      </c>
    </row>
  </sheetData>
  <mergeCells count="2">
    <mergeCell ref="A1:H1"/>
    <mergeCell ref="A2:H2"/>
  </mergeCells>
  <conditionalFormatting sqref="E5:E137">
    <cfRule type="colorScale" priority="2">
      <colorScale>
        <cfvo type="num" val="0"/>
        <cfvo type="num" val="0.5"/>
        <cfvo type="num" val="1"/>
        <color rgb="FF4472C4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4" min="3" style="0" width="11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13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</row>
    <row r="5" customFormat="false" ht="15" hidden="false" customHeight="false" outlineLevel="0" collapsed="false">
      <c r="A5" s="8" t="s">
        <v>22</v>
      </c>
      <c r="B5" s="4" t="s">
        <v>23</v>
      </c>
      <c r="C5" s="4" t="n">
        <v>0</v>
      </c>
      <c r="D5" s="4" t="s">
        <v>34</v>
      </c>
      <c r="E5" s="9" t="n">
        <v>0.032</v>
      </c>
      <c r="F5" s="4" t="n">
        <v>0</v>
      </c>
      <c r="G5" s="4" t="n">
        <f aca="false">IF(E5&gt;0.5,1,0)</f>
        <v>0</v>
      </c>
      <c r="H5" s="4" t="str">
        <f aca="false">IF(G5=F5,"match","mismatch")</f>
        <v>match</v>
      </c>
    </row>
    <row r="6" customFormat="false" ht="15" hidden="false" customHeight="false" outlineLevel="0" collapsed="false">
      <c r="A6" s="8" t="s">
        <v>22</v>
      </c>
      <c r="B6" s="4" t="s">
        <v>23</v>
      </c>
      <c r="C6" s="4" t="n">
        <v>1</v>
      </c>
      <c r="D6" s="4" t="s">
        <v>44</v>
      </c>
      <c r="E6" s="9" t="n">
        <v>0.009</v>
      </c>
      <c r="F6" s="4" t="n">
        <v>0</v>
      </c>
      <c r="G6" s="4" t="n">
        <f aca="false">IF(E6&gt;0.5,1,0)</f>
        <v>0</v>
      </c>
      <c r="H6" s="4" t="str">
        <f aca="false">IF(G6=F6,"match","mismatch")</f>
        <v>match</v>
      </c>
    </row>
    <row r="7" customFormat="false" ht="15" hidden="false" customHeight="false" outlineLevel="0" collapsed="false">
      <c r="A7" s="8" t="s">
        <v>22</v>
      </c>
      <c r="B7" s="4" t="s">
        <v>23</v>
      </c>
      <c r="C7" s="4" t="n">
        <v>2</v>
      </c>
      <c r="D7" s="4" t="s">
        <v>36</v>
      </c>
      <c r="E7" s="9" t="n">
        <v>0.006</v>
      </c>
      <c r="F7" s="4" t="n">
        <v>0</v>
      </c>
      <c r="G7" s="4" t="n">
        <f aca="false">IF(E7&gt;0.5,1,0)</f>
        <v>0</v>
      </c>
      <c r="H7" s="4" t="str">
        <f aca="false">IF(G7=F7,"match","mismatch")</f>
        <v>match</v>
      </c>
    </row>
    <row r="8" customFormat="false" ht="15" hidden="false" customHeight="false" outlineLevel="0" collapsed="false">
      <c r="A8" s="8" t="s">
        <v>22</v>
      </c>
      <c r="B8" s="4" t="s">
        <v>23</v>
      </c>
      <c r="C8" s="4" t="n">
        <v>3</v>
      </c>
      <c r="D8" s="4" t="s">
        <v>29</v>
      </c>
      <c r="E8" s="9" t="n">
        <v>0.231</v>
      </c>
      <c r="F8" s="4" t="n">
        <v>0</v>
      </c>
      <c r="G8" s="4" t="n">
        <f aca="false">IF(E8&gt;0.5,1,0)</f>
        <v>0</v>
      </c>
      <c r="H8" s="4" t="str">
        <f aca="false">IF(G8=F8,"match","mismatch")</f>
        <v>match</v>
      </c>
    </row>
    <row r="9" customFormat="false" ht="15" hidden="false" customHeight="false" outlineLevel="0" collapsed="false">
      <c r="A9" s="8" t="s">
        <v>22</v>
      </c>
      <c r="B9" s="4" t="s">
        <v>23</v>
      </c>
      <c r="C9" s="4" t="n">
        <v>4</v>
      </c>
      <c r="D9" s="4" t="s">
        <v>31</v>
      </c>
      <c r="E9" s="9" t="n">
        <v>0.002</v>
      </c>
      <c r="F9" s="4" t="n">
        <v>0</v>
      </c>
      <c r="G9" s="4" t="n">
        <f aca="false">IF(E9&gt;0.5,1,0)</f>
        <v>0</v>
      </c>
      <c r="H9" s="4" t="str">
        <f aca="false">IF(G9=F9,"match","mismatch")</f>
        <v>match</v>
      </c>
    </row>
    <row r="10" customFormat="false" ht="15" hidden="false" customHeight="false" outlineLevel="0" collapsed="false">
      <c r="A10" s="8" t="s">
        <v>22</v>
      </c>
      <c r="B10" s="4" t="s">
        <v>23</v>
      </c>
      <c r="C10" s="4" t="n">
        <v>5</v>
      </c>
      <c r="D10" s="4" t="s">
        <v>27</v>
      </c>
      <c r="E10" s="9" t="n">
        <v>0.012</v>
      </c>
      <c r="F10" s="4" t="n">
        <v>0</v>
      </c>
      <c r="G10" s="4" t="n">
        <f aca="false">IF(E10&gt;0.5,1,0)</f>
        <v>0</v>
      </c>
      <c r="H10" s="4" t="str">
        <f aca="false">IF(G10=F10,"match","mismatch")</f>
        <v>match</v>
      </c>
    </row>
    <row r="11" customFormat="false" ht="15" hidden="false" customHeight="false" outlineLevel="0" collapsed="false">
      <c r="A11" s="8" t="s">
        <v>22</v>
      </c>
      <c r="B11" s="4" t="s">
        <v>23</v>
      </c>
      <c r="C11" s="4" t="n">
        <v>6</v>
      </c>
      <c r="D11" s="4" t="s">
        <v>33</v>
      </c>
      <c r="E11" s="9" t="n">
        <v>0.001</v>
      </c>
      <c r="F11" s="4" t="n">
        <v>0</v>
      </c>
      <c r="G11" s="4" t="n">
        <f aca="false">IF(E11&gt;0.5,1,0)</f>
        <v>0</v>
      </c>
      <c r="H11" s="4" t="str">
        <f aca="false">IF(G11=F11,"match","mismatch")</f>
        <v>match</v>
      </c>
    </row>
    <row r="12" customFormat="false" ht="15" hidden="false" customHeight="false" outlineLevel="0" collapsed="false">
      <c r="A12" s="8" t="s">
        <v>22</v>
      </c>
      <c r="B12" s="4" t="s">
        <v>23</v>
      </c>
      <c r="C12" s="4" t="n">
        <v>7</v>
      </c>
      <c r="D12" s="4" t="s">
        <v>24</v>
      </c>
      <c r="E12" s="9" t="n">
        <v>0.002</v>
      </c>
      <c r="F12" s="4" t="n">
        <v>0</v>
      </c>
      <c r="G12" s="4" t="n">
        <f aca="false">IF(E12&gt;0.5,1,0)</f>
        <v>0</v>
      </c>
      <c r="H12" s="4" t="str">
        <f aca="false">IF(G12=F12,"match","mismatch")</f>
        <v>match</v>
      </c>
    </row>
    <row r="13" customFormat="false" ht="15" hidden="false" customHeight="false" outlineLevel="0" collapsed="false">
      <c r="A13" s="8" t="s">
        <v>22</v>
      </c>
      <c r="B13" s="4" t="s">
        <v>23</v>
      </c>
      <c r="C13" s="4" t="n">
        <v>8</v>
      </c>
      <c r="D13" s="4" t="s">
        <v>24</v>
      </c>
      <c r="E13" s="9" t="n">
        <v>0.001</v>
      </c>
      <c r="F13" s="4" t="n">
        <v>0</v>
      </c>
      <c r="G13" s="4" t="n">
        <f aca="false">IF(E13&gt;0.5,1,0)</f>
        <v>0</v>
      </c>
      <c r="H13" s="4" t="str">
        <f aca="false">IF(G13=F13,"match","mismatch")</f>
        <v>match</v>
      </c>
    </row>
    <row r="14" customFormat="false" ht="15" hidden="false" customHeight="false" outlineLevel="0" collapsed="false">
      <c r="A14" s="8" t="s">
        <v>22</v>
      </c>
      <c r="B14" s="4" t="s">
        <v>23</v>
      </c>
      <c r="C14" s="4" t="n">
        <v>9</v>
      </c>
      <c r="D14" s="4" t="s">
        <v>33</v>
      </c>
      <c r="E14" s="9" t="n">
        <v>0.002</v>
      </c>
      <c r="F14" s="4" t="n">
        <v>0</v>
      </c>
      <c r="G14" s="4" t="n">
        <f aca="false">IF(E14&gt;0.5,1,0)</f>
        <v>0</v>
      </c>
      <c r="H14" s="4" t="str">
        <f aca="false">IF(G14=F14,"match","mismatch")</f>
        <v>match</v>
      </c>
    </row>
    <row r="15" customFormat="false" ht="15" hidden="false" customHeight="false" outlineLevel="0" collapsed="false">
      <c r="A15" s="8" t="s">
        <v>22</v>
      </c>
      <c r="B15" s="4" t="s">
        <v>23</v>
      </c>
      <c r="C15" s="4" t="n">
        <v>10</v>
      </c>
      <c r="D15" s="4" t="s">
        <v>40</v>
      </c>
      <c r="E15" s="9" t="n">
        <v>0.002</v>
      </c>
      <c r="F15" s="4" t="n">
        <v>0</v>
      </c>
      <c r="G15" s="4" t="n">
        <f aca="false">IF(E15&gt;0.5,1,0)</f>
        <v>0</v>
      </c>
      <c r="H15" s="4" t="str">
        <f aca="false">IF(G15=F15,"match","mismatch")</f>
        <v>match</v>
      </c>
    </row>
    <row r="16" customFormat="false" ht="15" hidden="false" customHeight="false" outlineLevel="0" collapsed="false">
      <c r="A16" s="8" t="s">
        <v>22</v>
      </c>
      <c r="B16" s="4" t="s">
        <v>23</v>
      </c>
      <c r="C16" s="4" t="n">
        <v>11</v>
      </c>
      <c r="D16" s="4" t="s">
        <v>37</v>
      </c>
      <c r="E16" s="9" t="n">
        <v>0.002</v>
      </c>
      <c r="F16" s="4" t="n">
        <v>0</v>
      </c>
      <c r="G16" s="4" t="n">
        <f aca="false">IF(E16&gt;0.5,1,0)</f>
        <v>0</v>
      </c>
      <c r="H16" s="4" t="str">
        <f aca="false">IF(G16=F16,"match","mismatch")</f>
        <v>match</v>
      </c>
    </row>
    <row r="17" customFormat="false" ht="15" hidden="false" customHeight="false" outlineLevel="0" collapsed="false">
      <c r="A17" s="8" t="s">
        <v>22</v>
      </c>
      <c r="B17" s="4" t="s">
        <v>23</v>
      </c>
      <c r="C17" s="4" t="n">
        <v>12</v>
      </c>
      <c r="D17" s="4" t="s">
        <v>24</v>
      </c>
      <c r="E17" s="9" t="n">
        <v>0.018</v>
      </c>
      <c r="F17" s="4" t="n">
        <v>0</v>
      </c>
      <c r="G17" s="4" t="n">
        <f aca="false">IF(E17&gt;0.5,1,0)</f>
        <v>0</v>
      </c>
      <c r="H17" s="4" t="str">
        <f aca="false">IF(G17=F17,"match","mismatch")</f>
        <v>match</v>
      </c>
    </row>
    <row r="18" customFormat="false" ht="15" hidden="false" customHeight="false" outlineLevel="0" collapsed="false">
      <c r="A18" s="8" t="s">
        <v>22</v>
      </c>
      <c r="B18" s="4" t="s">
        <v>23</v>
      </c>
      <c r="C18" s="4" t="n">
        <v>13</v>
      </c>
      <c r="D18" s="4" t="s">
        <v>40</v>
      </c>
      <c r="E18" s="9" t="n">
        <v>0.004</v>
      </c>
      <c r="F18" s="4" t="n">
        <v>0</v>
      </c>
      <c r="G18" s="4" t="n">
        <f aca="false">IF(E18&gt;0.5,1,0)</f>
        <v>0</v>
      </c>
      <c r="H18" s="4" t="str">
        <f aca="false">IF(G18=F18,"match","mismatch")</f>
        <v>match</v>
      </c>
    </row>
    <row r="19" customFormat="false" ht="15" hidden="false" customHeight="false" outlineLevel="0" collapsed="false">
      <c r="A19" s="8" t="s">
        <v>22</v>
      </c>
      <c r="B19" s="4" t="s">
        <v>23</v>
      </c>
      <c r="C19" s="4" t="n">
        <v>14</v>
      </c>
      <c r="D19" s="4" t="s">
        <v>24</v>
      </c>
      <c r="E19" s="9" t="n">
        <v>0.001</v>
      </c>
      <c r="F19" s="4" t="n">
        <v>0</v>
      </c>
      <c r="G19" s="4" t="n">
        <f aca="false">IF(E19&gt;0.5,1,0)</f>
        <v>0</v>
      </c>
      <c r="H19" s="4" t="str">
        <f aca="false">IF(G19=F19,"match","mismatch")</f>
        <v>match</v>
      </c>
    </row>
    <row r="20" customFormat="false" ht="15" hidden="false" customHeight="false" outlineLevel="0" collapsed="false">
      <c r="A20" s="8" t="s">
        <v>22</v>
      </c>
      <c r="B20" s="4" t="s">
        <v>23</v>
      </c>
      <c r="C20" s="4" t="n">
        <v>15</v>
      </c>
      <c r="D20" s="4" t="s">
        <v>40</v>
      </c>
      <c r="E20" s="9" t="n">
        <v>0.002</v>
      </c>
      <c r="F20" s="4" t="n">
        <v>0</v>
      </c>
      <c r="G20" s="4" t="n">
        <f aca="false">IF(E20&gt;0.5,1,0)</f>
        <v>0</v>
      </c>
      <c r="H20" s="4" t="str">
        <f aca="false">IF(G20=F20,"match","mismatch")</f>
        <v>match</v>
      </c>
    </row>
    <row r="21" customFormat="false" ht="15" hidden="false" customHeight="false" outlineLevel="0" collapsed="false">
      <c r="A21" s="8" t="s">
        <v>22</v>
      </c>
      <c r="B21" s="4" t="s">
        <v>23</v>
      </c>
      <c r="C21" s="4" t="n">
        <v>16</v>
      </c>
      <c r="D21" s="4" t="s">
        <v>27</v>
      </c>
      <c r="E21" s="9" t="n">
        <v>0.002</v>
      </c>
      <c r="F21" s="4" t="n">
        <v>0</v>
      </c>
      <c r="G21" s="4" t="n">
        <f aca="false">IF(E21&gt;0.5,1,0)</f>
        <v>0</v>
      </c>
      <c r="H21" s="4" t="str">
        <f aca="false">IF(G21=F21,"match","mismatch")</f>
        <v>match</v>
      </c>
    </row>
    <row r="22" customFormat="false" ht="15" hidden="false" customHeight="false" outlineLevel="0" collapsed="false">
      <c r="A22" s="8" t="s">
        <v>22</v>
      </c>
      <c r="B22" s="4" t="s">
        <v>23</v>
      </c>
      <c r="C22" s="4" t="n">
        <v>17</v>
      </c>
      <c r="D22" s="4" t="s">
        <v>37</v>
      </c>
      <c r="E22" s="9" t="n">
        <v>0.012</v>
      </c>
      <c r="F22" s="4" t="n">
        <v>0</v>
      </c>
      <c r="G22" s="4" t="n">
        <f aca="false">IF(E22&gt;0.5,1,0)</f>
        <v>0</v>
      </c>
      <c r="H22" s="4" t="str">
        <f aca="false">IF(G22=F22,"match","mismatch")</f>
        <v>match</v>
      </c>
    </row>
    <row r="23" customFormat="false" ht="15" hidden="false" customHeight="false" outlineLevel="0" collapsed="false">
      <c r="A23" s="8" t="s">
        <v>22</v>
      </c>
      <c r="B23" s="4" t="s">
        <v>23</v>
      </c>
      <c r="C23" s="4" t="n">
        <v>18</v>
      </c>
      <c r="D23" s="4" t="s">
        <v>23</v>
      </c>
      <c r="E23" s="9" t="n">
        <v>0.003</v>
      </c>
      <c r="F23" s="4" t="n">
        <v>0</v>
      </c>
      <c r="G23" s="4" t="n">
        <f aca="false">IF(E23&gt;0.5,1,0)</f>
        <v>0</v>
      </c>
      <c r="H23" s="4" t="str">
        <f aca="false">IF(G23=F23,"match","mismatch")</f>
        <v>match</v>
      </c>
    </row>
    <row r="24" customFormat="false" ht="15" hidden="false" customHeight="false" outlineLevel="0" collapsed="false">
      <c r="A24" s="8" t="s">
        <v>22</v>
      </c>
      <c r="B24" s="4" t="s">
        <v>23</v>
      </c>
      <c r="C24" s="4" t="n">
        <v>19</v>
      </c>
      <c r="D24" s="4" t="s">
        <v>33</v>
      </c>
      <c r="E24" s="9" t="n">
        <v>0.002</v>
      </c>
      <c r="F24" s="4" t="n">
        <v>0</v>
      </c>
      <c r="G24" s="4" t="n">
        <f aca="false">IF(E24&gt;0.5,1,0)</f>
        <v>0</v>
      </c>
      <c r="H24" s="4" t="str">
        <f aca="false">IF(G24=F24,"match","mismatch")</f>
        <v>match</v>
      </c>
    </row>
    <row r="25" customFormat="false" ht="15" hidden="false" customHeight="false" outlineLevel="0" collapsed="false">
      <c r="A25" s="8" t="s">
        <v>22</v>
      </c>
      <c r="B25" s="4" t="s">
        <v>23</v>
      </c>
      <c r="C25" s="4" t="n">
        <v>20</v>
      </c>
      <c r="D25" s="4" t="s">
        <v>41</v>
      </c>
      <c r="E25" s="9" t="n">
        <v>0.006</v>
      </c>
      <c r="F25" s="4" t="n">
        <v>0</v>
      </c>
      <c r="G25" s="4" t="n">
        <f aca="false">IF(E25&gt;0.5,1,0)</f>
        <v>0</v>
      </c>
      <c r="H25" s="4" t="str">
        <f aca="false">IF(G25=F25,"match","mismatch")</f>
        <v>match</v>
      </c>
    </row>
    <row r="26" customFormat="false" ht="15" hidden="false" customHeight="false" outlineLevel="0" collapsed="false">
      <c r="A26" s="8" t="s">
        <v>22</v>
      </c>
      <c r="B26" s="4" t="s">
        <v>23</v>
      </c>
      <c r="C26" s="4" t="n">
        <v>21</v>
      </c>
      <c r="D26" s="4" t="s">
        <v>24</v>
      </c>
      <c r="E26" s="9" t="n">
        <v>0.541</v>
      </c>
      <c r="F26" s="4" t="n">
        <v>1</v>
      </c>
      <c r="G26" s="4" t="n">
        <f aca="false">IF(E26&gt;0.5,1,0)</f>
        <v>1</v>
      </c>
      <c r="H26" s="4" t="str">
        <f aca="false">IF(G26=F26,"match","mismatch")</f>
        <v>match</v>
      </c>
    </row>
    <row r="27" customFormat="false" ht="15" hidden="false" customHeight="false" outlineLevel="0" collapsed="false">
      <c r="A27" s="8" t="s">
        <v>22</v>
      </c>
      <c r="B27" s="4" t="s">
        <v>23</v>
      </c>
      <c r="C27" s="4" t="n">
        <v>22</v>
      </c>
      <c r="D27" s="4" t="s">
        <v>30</v>
      </c>
      <c r="E27" s="9" t="n">
        <v>0.007</v>
      </c>
      <c r="F27" s="4" t="n">
        <v>0</v>
      </c>
      <c r="G27" s="4" t="n">
        <f aca="false">IF(E27&gt;0.5,1,0)</f>
        <v>0</v>
      </c>
      <c r="H27" s="4" t="str">
        <f aca="false">IF(G27=F27,"match","mismatch")</f>
        <v>match</v>
      </c>
    </row>
    <row r="28" customFormat="false" ht="15" hidden="false" customHeight="false" outlineLevel="0" collapsed="false">
      <c r="A28" s="8" t="s">
        <v>22</v>
      </c>
      <c r="B28" s="4" t="s">
        <v>23</v>
      </c>
      <c r="C28" s="4" t="n">
        <v>23</v>
      </c>
      <c r="D28" s="4" t="s">
        <v>28</v>
      </c>
      <c r="E28" s="9" t="n">
        <v>0.004</v>
      </c>
      <c r="F28" s="4" t="n">
        <v>0</v>
      </c>
      <c r="G28" s="4" t="n">
        <f aca="false">IF(E28&gt;0.5,1,0)</f>
        <v>0</v>
      </c>
      <c r="H28" s="4" t="str">
        <f aca="false">IF(G28=F28,"match","mismatch")</f>
        <v>match</v>
      </c>
    </row>
    <row r="29" customFormat="false" ht="15" hidden="false" customHeight="false" outlineLevel="0" collapsed="false">
      <c r="A29" s="8" t="s">
        <v>22</v>
      </c>
      <c r="B29" s="4" t="s">
        <v>23</v>
      </c>
      <c r="C29" s="4" t="n">
        <v>24</v>
      </c>
      <c r="D29" s="4" t="s">
        <v>24</v>
      </c>
      <c r="E29" s="9" t="n">
        <v>0.483</v>
      </c>
      <c r="F29" s="4" t="n">
        <v>0</v>
      </c>
      <c r="G29" s="4" t="n">
        <f aca="false">IF(E29&gt;0.5,1,0)</f>
        <v>0</v>
      </c>
      <c r="H29" s="4" t="str">
        <f aca="false">IF(G29=F29,"match","mismatch")</f>
        <v>match</v>
      </c>
    </row>
    <row r="30" customFormat="false" ht="15" hidden="false" customHeight="false" outlineLevel="0" collapsed="false">
      <c r="A30" s="8" t="s">
        <v>22</v>
      </c>
      <c r="B30" s="4" t="s">
        <v>23</v>
      </c>
      <c r="C30" s="4" t="n">
        <v>25</v>
      </c>
      <c r="D30" s="4" t="s">
        <v>30</v>
      </c>
      <c r="E30" s="9" t="n">
        <v>0.977</v>
      </c>
      <c r="F30" s="4" t="n">
        <v>1</v>
      </c>
      <c r="G30" s="4" t="n">
        <f aca="false">IF(E30&gt;0.5,1,0)</f>
        <v>1</v>
      </c>
      <c r="H30" s="4" t="str">
        <f aca="false">IF(G30=F30,"match","mismatch")</f>
        <v>match</v>
      </c>
    </row>
    <row r="31" customFormat="false" ht="15" hidden="false" customHeight="false" outlineLevel="0" collapsed="false">
      <c r="A31" s="8" t="s">
        <v>22</v>
      </c>
      <c r="B31" s="4" t="s">
        <v>23</v>
      </c>
      <c r="C31" s="4" t="n">
        <v>26</v>
      </c>
      <c r="D31" s="4" t="s">
        <v>40</v>
      </c>
      <c r="E31" s="9" t="n">
        <v>0.015</v>
      </c>
      <c r="F31" s="4" t="n">
        <v>0</v>
      </c>
      <c r="G31" s="4" t="n">
        <f aca="false">IF(E31&gt;0.5,1,0)</f>
        <v>0</v>
      </c>
      <c r="H31" s="4" t="str">
        <f aca="false">IF(G31=F31,"match","mismatch")</f>
        <v>match</v>
      </c>
    </row>
    <row r="32" customFormat="false" ht="15" hidden="false" customHeight="false" outlineLevel="0" collapsed="false">
      <c r="A32" s="8" t="s">
        <v>22</v>
      </c>
      <c r="B32" s="4" t="s">
        <v>23</v>
      </c>
      <c r="C32" s="4" t="n">
        <v>27</v>
      </c>
      <c r="D32" s="4" t="s">
        <v>32</v>
      </c>
      <c r="E32" s="9" t="n">
        <v>0.853</v>
      </c>
      <c r="F32" s="4" t="n">
        <v>1</v>
      </c>
      <c r="G32" s="4" t="n">
        <f aca="false">IF(E32&gt;0.5,1,0)</f>
        <v>1</v>
      </c>
      <c r="H32" s="4" t="str">
        <f aca="false">IF(G32=F32,"match","mismatch")</f>
        <v>match</v>
      </c>
    </row>
    <row r="33" customFormat="false" ht="15" hidden="false" customHeight="false" outlineLevel="0" collapsed="false">
      <c r="A33" s="8" t="s">
        <v>22</v>
      </c>
      <c r="B33" s="4" t="s">
        <v>23</v>
      </c>
      <c r="C33" s="4" t="n">
        <v>28</v>
      </c>
      <c r="D33" s="4" t="s">
        <v>28</v>
      </c>
      <c r="E33" s="9" t="n">
        <v>0.011</v>
      </c>
      <c r="F33" s="4" t="n">
        <v>0</v>
      </c>
      <c r="G33" s="4" t="n">
        <f aca="false">IF(E33&gt;0.5,1,0)</f>
        <v>0</v>
      </c>
      <c r="H33" s="4" t="str">
        <f aca="false">IF(G33=F33,"match","mismatch")</f>
        <v>match</v>
      </c>
    </row>
    <row r="34" customFormat="false" ht="15" hidden="false" customHeight="false" outlineLevel="0" collapsed="false">
      <c r="A34" s="8" t="s">
        <v>22</v>
      </c>
      <c r="B34" s="4" t="s">
        <v>23</v>
      </c>
      <c r="C34" s="4" t="n">
        <v>29</v>
      </c>
      <c r="D34" s="4" t="s">
        <v>24</v>
      </c>
      <c r="E34" s="9" t="n">
        <v>0.562</v>
      </c>
      <c r="F34" s="4" t="n">
        <v>1</v>
      </c>
      <c r="G34" s="4" t="n">
        <f aca="false">IF(E34&gt;0.5,1,0)</f>
        <v>1</v>
      </c>
      <c r="H34" s="4" t="str">
        <f aca="false">IF(G34=F34,"match","mismatch")</f>
        <v>match</v>
      </c>
    </row>
    <row r="35" customFormat="false" ht="15" hidden="false" customHeight="false" outlineLevel="0" collapsed="false">
      <c r="A35" s="8" t="s">
        <v>22</v>
      </c>
      <c r="B35" s="4" t="s">
        <v>23</v>
      </c>
      <c r="C35" s="4" t="n">
        <v>30</v>
      </c>
      <c r="D35" s="4" t="s">
        <v>29</v>
      </c>
      <c r="E35" s="9" t="n">
        <v>0.013</v>
      </c>
      <c r="F35" s="4" t="n">
        <v>0</v>
      </c>
      <c r="G35" s="4" t="n">
        <f aca="false">IF(E35&gt;0.5,1,0)</f>
        <v>0</v>
      </c>
      <c r="H35" s="4" t="str">
        <f aca="false">IF(G35=F35,"match","mismatch")</f>
        <v>match</v>
      </c>
    </row>
    <row r="36" customFormat="false" ht="15" hidden="false" customHeight="false" outlineLevel="0" collapsed="false">
      <c r="A36" s="8" t="s">
        <v>22</v>
      </c>
      <c r="B36" s="4" t="s">
        <v>23</v>
      </c>
      <c r="C36" s="4" t="n">
        <v>31</v>
      </c>
      <c r="D36" s="4" t="s">
        <v>27</v>
      </c>
      <c r="E36" s="9" t="n">
        <v>0.203</v>
      </c>
      <c r="F36" s="4" t="n">
        <v>1</v>
      </c>
      <c r="G36" s="4" t="n">
        <f aca="false">IF(E36&gt;0.5,1,0)</f>
        <v>0</v>
      </c>
      <c r="H36" s="4" t="str">
        <f aca="false">IF(G36=F36,"match","mismatch")</f>
        <v>mismatch</v>
      </c>
    </row>
    <row r="37" customFormat="false" ht="15" hidden="false" customHeight="false" outlineLevel="0" collapsed="false">
      <c r="A37" s="8" t="s">
        <v>22</v>
      </c>
      <c r="B37" s="4" t="s">
        <v>23</v>
      </c>
      <c r="C37" s="4" t="n">
        <v>32</v>
      </c>
      <c r="D37" s="4" t="s">
        <v>31</v>
      </c>
      <c r="E37" s="9" t="n">
        <v>0.008</v>
      </c>
      <c r="F37" s="4" t="n">
        <v>0</v>
      </c>
      <c r="G37" s="4" t="n">
        <f aca="false">IF(E37&gt;0.5,1,0)</f>
        <v>0</v>
      </c>
      <c r="H37" s="4" t="str">
        <f aca="false">IF(G37=F37,"match","mismatch")</f>
        <v>match</v>
      </c>
    </row>
    <row r="38" customFormat="false" ht="15" hidden="false" customHeight="false" outlineLevel="0" collapsed="false">
      <c r="A38" s="8" t="s">
        <v>22</v>
      </c>
      <c r="B38" s="4" t="s">
        <v>23</v>
      </c>
      <c r="C38" s="4" t="n">
        <v>33</v>
      </c>
      <c r="D38" s="4" t="s">
        <v>25</v>
      </c>
      <c r="E38" s="9" t="n">
        <v>0.968</v>
      </c>
      <c r="F38" s="4" t="n">
        <v>1</v>
      </c>
      <c r="G38" s="4" t="n">
        <f aca="false">IF(E38&gt;0.5,1,0)</f>
        <v>1</v>
      </c>
      <c r="H38" s="4" t="str">
        <f aca="false">IF(G38=F38,"match","mismatch")</f>
        <v>match</v>
      </c>
    </row>
    <row r="39" customFormat="false" ht="15" hidden="false" customHeight="false" outlineLevel="0" collapsed="false">
      <c r="A39" s="8" t="s">
        <v>22</v>
      </c>
      <c r="B39" s="4" t="s">
        <v>23</v>
      </c>
      <c r="C39" s="4" t="n">
        <v>34</v>
      </c>
      <c r="D39" s="4" t="s">
        <v>35</v>
      </c>
      <c r="E39" s="9" t="n">
        <v>0.911</v>
      </c>
      <c r="F39" s="4" t="n">
        <v>0</v>
      </c>
      <c r="G39" s="4" t="n">
        <f aca="false">IF(E39&gt;0.5,1,0)</f>
        <v>1</v>
      </c>
      <c r="H39" s="4" t="str">
        <f aca="false">IF(G39=F39,"match","mismatch")</f>
        <v>mismatch</v>
      </c>
    </row>
    <row r="40" customFormat="false" ht="15" hidden="false" customHeight="false" outlineLevel="0" collapsed="false">
      <c r="A40" s="8" t="s">
        <v>22</v>
      </c>
      <c r="B40" s="4" t="s">
        <v>23</v>
      </c>
      <c r="C40" s="4" t="n">
        <v>35</v>
      </c>
      <c r="D40" s="4" t="s">
        <v>41</v>
      </c>
      <c r="E40" s="9" t="n">
        <v>0.303</v>
      </c>
      <c r="F40" s="4" t="n">
        <v>0</v>
      </c>
      <c r="G40" s="4" t="n">
        <f aca="false">IF(E40&gt;0.5,1,0)</f>
        <v>0</v>
      </c>
      <c r="H40" s="4" t="str">
        <f aca="false">IF(G40=F40,"match","mismatch")</f>
        <v>match</v>
      </c>
    </row>
    <row r="41" customFormat="false" ht="15" hidden="false" customHeight="false" outlineLevel="0" collapsed="false">
      <c r="A41" s="8" t="s">
        <v>22</v>
      </c>
      <c r="B41" s="4" t="s">
        <v>23</v>
      </c>
      <c r="C41" s="4" t="n">
        <v>36</v>
      </c>
      <c r="D41" s="4" t="s">
        <v>32</v>
      </c>
      <c r="E41" s="9" t="n">
        <v>0.973</v>
      </c>
      <c r="F41" s="4" t="n">
        <v>1</v>
      </c>
      <c r="G41" s="4" t="n">
        <f aca="false">IF(E41&gt;0.5,1,0)</f>
        <v>1</v>
      </c>
      <c r="H41" s="4" t="str">
        <f aca="false">IF(G41=F41,"match","mismatch")</f>
        <v>match</v>
      </c>
    </row>
    <row r="42" customFormat="false" ht="15" hidden="false" customHeight="false" outlineLevel="0" collapsed="false">
      <c r="A42" s="8" t="s">
        <v>22</v>
      </c>
      <c r="B42" s="4" t="s">
        <v>23</v>
      </c>
      <c r="C42" s="4" t="n">
        <v>37</v>
      </c>
      <c r="D42" s="4" t="s">
        <v>29</v>
      </c>
      <c r="E42" s="9" t="n">
        <v>0.985</v>
      </c>
      <c r="F42" s="4" t="n">
        <v>1</v>
      </c>
      <c r="G42" s="4" t="n">
        <f aca="false">IF(E42&gt;0.5,1,0)</f>
        <v>1</v>
      </c>
      <c r="H42" s="4" t="str">
        <f aca="false">IF(G42=F42,"match","mismatch")</f>
        <v>match</v>
      </c>
    </row>
    <row r="43" customFormat="false" ht="15" hidden="false" customHeight="false" outlineLevel="0" collapsed="false">
      <c r="A43" s="8" t="s">
        <v>22</v>
      </c>
      <c r="B43" s="4" t="s">
        <v>23</v>
      </c>
      <c r="C43" s="4" t="n">
        <v>38</v>
      </c>
      <c r="D43" s="4" t="s">
        <v>25</v>
      </c>
      <c r="E43" s="9" t="n">
        <v>0.968</v>
      </c>
      <c r="F43" s="4" t="n">
        <v>1</v>
      </c>
      <c r="G43" s="4" t="n">
        <f aca="false">IF(E43&gt;0.5,1,0)</f>
        <v>1</v>
      </c>
      <c r="H43" s="4" t="str">
        <f aca="false">IF(G43=F43,"match","mismatch")</f>
        <v>match</v>
      </c>
    </row>
    <row r="44" customFormat="false" ht="15" hidden="false" customHeight="false" outlineLevel="0" collapsed="false">
      <c r="A44" s="8" t="s">
        <v>22</v>
      </c>
      <c r="B44" s="4" t="s">
        <v>23</v>
      </c>
      <c r="C44" s="4" t="n">
        <v>39</v>
      </c>
      <c r="D44" s="4" t="s">
        <v>37</v>
      </c>
      <c r="E44" s="9" t="n">
        <v>0.971</v>
      </c>
      <c r="F44" s="4" t="n">
        <v>1</v>
      </c>
      <c r="G44" s="4" t="n">
        <f aca="false">IF(E44&gt;0.5,1,0)</f>
        <v>1</v>
      </c>
      <c r="H44" s="4" t="str">
        <f aca="false">IF(G44=F44,"match","mismatch")</f>
        <v>match</v>
      </c>
    </row>
    <row r="45" customFormat="false" ht="15" hidden="false" customHeight="false" outlineLevel="0" collapsed="false">
      <c r="A45" s="8" t="s">
        <v>22</v>
      </c>
      <c r="B45" s="4" t="s">
        <v>23</v>
      </c>
      <c r="C45" s="4" t="n">
        <v>40</v>
      </c>
      <c r="D45" s="4" t="s">
        <v>31</v>
      </c>
      <c r="E45" s="9" t="n">
        <v>0.96</v>
      </c>
      <c r="F45" s="4" t="n">
        <v>1</v>
      </c>
      <c r="G45" s="4" t="n">
        <f aca="false">IF(E45&gt;0.5,1,0)</f>
        <v>1</v>
      </c>
      <c r="H45" s="4" t="str">
        <f aca="false">IF(G45=F45,"match","mismatch")</f>
        <v>match</v>
      </c>
    </row>
    <row r="46" customFormat="false" ht="15" hidden="false" customHeight="false" outlineLevel="0" collapsed="false">
      <c r="A46" s="8" t="s">
        <v>22</v>
      </c>
      <c r="B46" s="4" t="s">
        <v>23</v>
      </c>
      <c r="C46" s="4" t="n">
        <v>41</v>
      </c>
      <c r="D46" s="4" t="s">
        <v>36</v>
      </c>
      <c r="E46" s="9" t="n">
        <v>0.972</v>
      </c>
      <c r="F46" s="4" t="n">
        <v>1</v>
      </c>
      <c r="G46" s="4" t="n">
        <f aca="false">IF(E46&gt;0.5,1,0)</f>
        <v>1</v>
      </c>
      <c r="H46" s="4" t="str">
        <f aca="false">IF(G46=F46,"match","mismatch")</f>
        <v>match</v>
      </c>
    </row>
    <row r="47" customFormat="false" ht="15" hidden="false" customHeight="false" outlineLevel="0" collapsed="false">
      <c r="A47" s="8" t="s">
        <v>22</v>
      </c>
      <c r="B47" s="4" t="s">
        <v>23</v>
      </c>
      <c r="C47" s="4" t="n">
        <v>42</v>
      </c>
      <c r="D47" s="4" t="s">
        <v>27</v>
      </c>
      <c r="E47" s="9" t="n">
        <v>0.186</v>
      </c>
      <c r="F47" s="4" t="n">
        <v>0</v>
      </c>
      <c r="G47" s="4" t="n">
        <f aca="false">IF(E47&gt;0.5,1,0)</f>
        <v>0</v>
      </c>
      <c r="H47" s="4" t="str">
        <f aca="false">IF(G47=F47,"match","mismatch")</f>
        <v>match</v>
      </c>
    </row>
    <row r="48" customFormat="false" ht="15" hidden="false" customHeight="false" outlineLevel="0" collapsed="false">
      <c r="A48" s="8" t="s">
        <v>22</v>
      </c>
      <c r="B48" s="4" t="s">
        <v>23</v>
      </c>
      <c r="C48" s="4" t="n">
        <v>43</v>
      </c>
      <c r="D48" s="4" t="s">
        <v>30</v>
      </c>
      <c r="E48" s="9" t="n">
        <v>0.019</v>
      </c>
      <c r="F48" s="4" t="n">
        <v>0</v>
      </c>
      <c r="G48" s="4" t="n">
        <f aca="false">IF(E48&gt;0.5,1,0)</f>
        <v>0</v>
      </c>
      <c r="H48" s="4" t="str">
        <f aca="false">IF(G48=F48,"match","mismatch")</f>
        <v>match</v>
      </c>
    </row>
    <row r="49" customFormat="false" ht="15" hidden="false" customHeight="false" outlineLevel="0" collapsed="false">
      <c r="A49" s="8" t="s">
        <v>22</v>
      </c>
      <c r="B49" s="4" t="s">
        <v>23</v>
      </c>
      <c r="C49" s="4" t="n">
        <v>44</v>
      </c>
      <c r="D49" s="4" t="s">
        <v>24</v>
      </c>
      <c r="E49" s="9" t="n">
        <v>0.002</v>
      </c>
      <c r="F49" s="4" t="n">
        <v>0</v>
      </c>
      <c r="G49" s="4" t="n">
        <f aca="false">IF(E49&gt;0.5,1,0)</f>
        <v>0</v>
      </c>
      <c r="H49" s="4" t="str">
        <f aca="false">IF(G49=F49,"match","mismatch")</f>
        <v>match</v>
      </c>
    </row>
    <row r="50" customFormat="false" ht="15" hidden="false" customHeight="false" outlineLevel="0" collapsed="false">
      <c r="A50" s="8" t="s">
        <v>22</v>
      </c>
      <c r="B50" s="4" t="s">
        <v>23</v>
      </c>
      <c r="C50" s="4" t="n">
        <v>45</v>
      </c>
      <c r="D50" s="4" t="s">
        <v>29</v>
      </c>
      <c r="E50" s="9" t="n">
        <v>0.006</v>
      </c>
      <c r="F50" s="4" t="n">
        <v>0</v>
      </c>
      <c r="G50" s="4" t="n">
        <f aca="false">IF(E50&gt;0.5,1,0)</f>
        <v>0</v>
      </c>
      <c r="H50" s="4" t="str">
        <f aca="false">IF(G50=F50,"match","mismatch")</f>
        <v>match</v>
      </c>
    </row>
    <row r="51" customFormat="false" ht="15" hidden="false" customHeight="false" outlineLevel="0" collapsed="false">
      <c r="A51" s="8" t="s">
        <v>22</v>
      </c>
      <c r="B51" s="4" t="s">
        <v>23</v>
      </c>
      <c r="C51" s="4" t="n">
        <v>46</v>
      </c>
      <c r="D51" s="4" t="s">
        <v>24</v>
      </c>
      <c r="E51" s="9" t="n">
        <v>0.001</v>
      </c>
      <c r="F51" s="4" t="n">
        <v>0</v>
      </c>
      <c r="G51" s="4" t="n">
        <f aca="false">IF(E51&gt;0.5,1,0)</f>
        <v>0</v>
      </c>
      <c r="H51" s="4" t="str">
        <f aca="false">IF(G51=F51,"match","mismatch")</f>
        <v>match</v>
      </c>
    </row>
    <row r="52" customFormat="false" ht="15" hidden="false" customHeight="false" outlineLevel="0" collapsed="false">
      <c r="A52" s="8" t="s">
        <v>22</v>
      </c>
      <c r="B52" s="4" t="s">
        <v>23</v>
      </c>
      <c r="C52" s="4" t="n">
        <v>47</v>
      </c>
      <c r="D52" s="4" t="s">
        <v>25</v>
      </c>
      <c r="E52" s="9" t="n">
        <v>0.001</v>
      </c>
      <c r="F52" s="4" t="n">
        <v>0</v>
      </c>
      <c r="G52" s="4" t="n">
        <f aca="false">IF(E52&gt;0.5,1,0)</f>
        <v>0</v>
      </c>
      <c r="H52" s="4" t="str">
        <f aca="false">IF(G52=F52,"match","mismatch")</f>
        <v>match</v>
      </c>
    </row>
    <row r="53" customFormat="false" ht="15" hidden="false" customHeight="false" outlineLevel="0" collapsed="false">
      <c r="A53" s="8" t="s">
        <v>22</v>
      </c>
      <c r="B53" s="4" t="s">
        <v>23</v>
      </c>
      <c r="C53" s="4" t="n">
        <v>48</v>
      </c>
      <c r="D53" s="4" t="s">
        <v>46</v>
      </c>
      <c r="E53" s="9" t="n">
        <v>0.006</v>
      </c>
      <c r="F53" s="4" t="n">
        <v>0</v>
      </c>
      <c r="G53" s="4" t="n">
        <f aca="false">IF(E53&gt;0.5,1,0)</f>
        <v>0</v>
      </c>
      <c r="H53" s="4" t="str">
        <f aca="false">IF(G53=F53,"match","mismatch")</f>
        <v>match</v>
      </c>
    </row>
    <row r="54" customFormat="false" ht="15" hidden="false" customHeight="false" outlineLevel="0" collapsed="false">
      <c r="A54" s="8" t="s">
        <v>22</v>
      </c>
      <c r="B54" s="4" t="s">
        <v>23</v>
      </c>
      <c r="C54" s="4" t="n">
        <v>49</v>
      </c>
      <c r="D54" s="4" t="s">
        <v>30</v>
      </c>
      <c r="E54" s="9" t="n">
        <v>0.003</v>
      </c>
      <c r="F54" s="4" t="n">
        <v>0</v>
      </c>
      <c r="G54" s="4" t="n">
        <f aca="false">IF(E54&gt;0.5,1,0)</f>
        <v>0</v>
      </c>
      <c r="H54" s="4" t="str">
        <f aca="false">IF(G54=F54,"match","mismatch")</f>
        <v>match</v>
      </c>
    </row>
    <row r="55" customFormat="false" ht="15" hidden="false" customHeight="false" outlineLevel="0" collapsed="false">
      <c r="A55" s="8" t="s">
        <v>22</v>
      </c>
      <c r="B55" s="4" t="s">
        <v>23</v>
      </c>
      <c r="C55" s="4" t="n">
        <v>50</v>
      </c>
      <c r="D55" s="4" t="s">
        <v>30</v>
      </c>
      <c r="E55" s="9" t="n">
        <v>0.009</v>
      </c>
      <c r="F55" s="4" t="n">
        <v>0</v>
      </c>
      <c r="G55" s="4" t="n">
        <f aca="false">IF(E55&gt;0.5,1,0)</f>
        <v>0</v>
      </c>
      <c r="H55" s="4" t="str">
        <f aca="false">IF(G55=F55,"match","mismatch")</f>
        <v>match</v>
      </c>
    </row>
    <row r="56" customFormat="false" ht="15" hidden="false" customHeight="false" outlineLevel="0" collapsed="false">
      <c r="A56" s="8" t="s">
        <v>22</v>
      </c>
      <c r="B56" s="4" t="s">
        <v>23</v>
      </c>
      <c r="C56" s="4" t="n">
        <v>51</v>
      </c>
      <c r="D56" s="4" t="s">
        <v>46</v>
      </c>
      <c r="E56" s="9" t="n">
        <v>0.003</v>
      </c>
      <c r="F56" s="4" t="n">
        <v>0</v>
      </c>
      <c r="G56" s="4" t="n">
        <f aca="false">IF(E56&gt;0.5,1,0)</f>
        <v>0</v>
      </c>
      <c r="H56" s="4" t="str">
        <f aca="false">IF(G56=F56,"match","mismatch")</f>
        <v>match</v>
      </c>
    </row>
    <row r="57" customFormat="false" ht="15" hidden="false" customHeight="false" outlineLevel="0" collapsed="false">
      <c r="A57" s="8" t="s">
        <v>22</v>
      </c>
      <c r="B57" s="4" t="s">
        <v>23</v>
      </c>
      <c r="C57" s="4" t="n">
        <v>52</v>
      </c>
      <c r="D57" s="4" t="s">
        <v>44</v>
      </c>
      <c r="E57" s="9" t="n">
        <v>0.589</v>
      </c>
      <c r="F57" s="4" t="n">
        <v>0</v>
      </c>
      <c r="G57" s="4" t="n">
        <f aca="false">IF(E57&gt;0.5,1,0)</f>
        <v>1</v>
      </c>
      <c r="H57" s="4" t="str">
        <f aca="false">IF(G57=F57,"match","mismatch")</f>
        <v>mismatch</v>
      </c>
    </row>
    <row r="58" customFormat="false" ht="15" hidden="false" customHeight="false" outlineLevel="0" collapsed="false">
      <c r="A58" s="8" t="s">
        <v>22</v>
      </c>
      <c r="B58" s="4" t="s">
        <v>23</v>
      </c>
      <c r="C58" s="4" t="n">
        <v>53</v>
      </c>
      <c r="D58" s="4" t="s">
        <v>33</v>
      </c>
      <c r="E58" s="9" t="n">
        <v>0.005</v>
      </c>
      <c r="F58" s="4" t="n">
        <v>0</v>
      </c>
      <c r="G58" s="4" t="n">
        <f aca="false">IF(E58&gt;0.5,1,0)</f>
        <v>0</v>
      </c>
      <c r="H58" s="4" t="str">
        <f aca="false">IF(G58=F58,"match","mismatch")</f>
        <v>match</v>
      </c>
    </row>
    <row r="59" customFormat="false" ht="15" hidden="false" customHeight="false" outlineLevel="0" collapsed="false">
      <c r="A59" s="8" t="s">
        <v>22</v>
      </c>
      <c r="B59" s="4" t="s">
        <v>23</v>
      </c>
      <c r="C59" s="4" t="n">
        <v>54</v>
      </c>
      <c r="D59" s="4" t="s">
        <v>29</v>
      </c>
      <c r="E59" s="9" t="n">
        <v>0.486</v>
      </c>
      <c r="F59" s="4" t="n">
        <v>0</v>
      </c>
      <c r="G59" s="4" t="n">
        <f aca="false">IF(E59&gt;0.5,1,0)</f>
        <v>0</v>
      </c>
      <c r="H59" s="4" t="str">
        <f aca="false">IF(G59=F59,"match","mismatch")</f>
        <v>match</v>
      </c>
    </row>
    <row r="60" customFormat="false" ht="15" hidden="false" customHeight="false" outlineLevel="0" collapsed="false">
      <c r="A60" s="8" t="s">
        <v>22</v>
      </c>
      <c r="B60" s="4" t="s">
        <v>23</v>
      </c>
      <c r="C60" s="4" t="n">
        <v>55</v>
      </c>
      <c r="D60" s="4" t="s">
        <v>32</v>
      </c>
      <c r="E60" s="9" t="n">
        <v>0.008</v>
      </c>
      <c r="F60" s="4" t="n">
        <v>0</v>
      </c>
      <c r="G60" s="4" t="n">
        <f aca="false">IF(E60&gt;0.5,1,0)</f>
        <v>0</v>
      </c>
      <c r="H60" s="4" t="str">
        <f aca="false">IF(G60=F60,"match","mismatch")</f>
        <v>match</v>
      </c>
    </row>
    <row r="61" customFormat="false" ht="15" hidden="false" customHeight="false" outlineLevel="0" collapsed="false">
      <c r="A61" s="8" t="s">
        <v>22</v>
      </c>
      <c r="B61" s="4" t="s">
        <v>23</v>
      </c>
      <c r="C61" s="4" t="n">
        <v>56</v>
      </c>
      <c r="D61" s="4" t="s">
        <v>33</v>
      </c>
      <c r="E61" s="9" t="n">
        <v>0.731</v>
      </c>
      <c r="F61" s="4" t="n">
        <v>0</v>
      </c>
      <c r="G61" s="4" t="n">
        <f aca="false">IF(E61&gt;0.5,1,0)</f>
        <v>1</v>
      </c>
      <c r="H61" s="4" t="str">
        <f aca="false">IF(G61=F61,"match","mismatch")</f>
        <v>mismatch</v>
      </c>
    </row>
    <row r="62" customFormat="false" ht="15" hidden="false" customHeight="false" outlineLevel="0" collapsed="false">
      <c r="A62" s="8" t="s">
        <v>22</v>
      </c>
      <c r="B62" s="4" t="s">
        <v>23</v>
      </c>
      <c r="C62" s="4" t="n">
        <v>57</v>
      </c>
      <c r="D62" s="4" t="s">
        <v>25</v>
      </c>
      <c r="E62" s="9" t="n">
        <v>0.017</v>
      </c>
      <c r="F62" s="4" t="n">
        <v>0</v>
      </c>
      <c r="G62" s="4" t="n">
        <f aca="false">IF(E62&gt;0.5,1,0)</f>
        <v>0</v>
      </c>
      <c r="H62" s="4" t="str">
        <f aca="false">IF(G62=F62,"match","mismatch")</f>
        <v>match</v>
      </c>
    </row>
    <row r="63" customFormat="false" ht="15" hidden="false" customHeight="false" outlineLevel="0" collapsed="false">
      <c r="A63" s="8" t="s">
        <v>22</v>
      </c>
      <c r="B63" s="4" t="s">
        <v>23</v>
      </c>
      <c r="C63" s="4" t="n">
        <v>58</v>
      </c>
      <c r="D63" s="4" t="s">
        <v>41</v>
      </c>
      <c r="E63" s="9" t="n">
        <v>0.006</v>
      </c>
      <c r="F63" s="4" t="n">
        <v>0</v>
      </c>
      <c r="G63" s="4" t="n">
        <f aca="false">IF(E63&gt;0.5,1,0)</f>
        <v>0</v>
      </c>
      <c r="H63" s="4" t="str">
        <f aca="false">IF(G63=F63,"match","mismatch")</f>
        <v>match</v>
      </c>
    </row>
    <row r="64" customFormat="false" ht="15" hidden="false" customHeight="false" outlineLevel="0" collapsed="false">
      <c r="A64" s="8" t="s">
        <v>22</v>
      </c>
      <c r="B64" s="4" t="s">
        <v>23</v>
      </c>
      <c r="C64" s="4" t="n">
        <v>59</v>
      </c>
      <c r="D64" s="4" t="s">
        <v>23</v>
      </c>
      <c r="E64" s="9" t="n">
        <v>0.006</v>
      </c>
      <c r="F64" s="4" t="n">
        <v>0</v>
      </c>
      <c r="G64" s="4" t="n">
        <f aca="false">IF(E64&gt;0.5,1,0)</f>
        <v>0</v>
      </c>
      <c r="H64" s="4" t="str">
        <f aca="false">IF(G64=F64,"match","mismatch")</f>
        <v>match</v>
      </c>
    </row>
    <row r="65" customFormat="false" ht="15" hidden="false" customHeight="false" outlineLevel="0" collapsed="false">
      <c r="A65" s="8" t="s">
        <v>22</v>
      </c>
      <c r="B65" s="4" t="s">
        <v>23</v>
      </c>
      <c r="C65" s="4" t="n">
        <v>60</v>
      </c>
      <c r="D65" s="4" t="s">
        <v>40</v>
      </c>
      <c r="E65" s="9" t="n">
        <v>0.007</v>
      </c>
      <c r="F65" s="4" t="n">
        <v>0</v>
      </c>
      <c r="G65" s="4" t="n">
        <f aca="false">IF(E65&gt;0.5,1,0)</f>
        <v>0</v>
      </c>
      <c r="H65" s="4" t="str">
        <f aca="false">IF(G65=F65,"match","mismatch")</f>
        <v>match</v>
      </c>
    </row>
    <row r="66" customFormat="false" ht="15" hidden="false" customHeight="false" outlineLevel="0" collapsed="false">
      <c r="A66" s="8" t="s">
        <v>22</v>
      </c>
      <c r="B66" s="4" t="s">
        <v>23</v>
      </c>
      <c r="C66" s="4" t="n">
        <v>61</v>
      </c>
      <c r="D66" s="4" t="s">
        <v>41</v>
      </c>
      <c r="E66" s="9" t="n">
        <v>0.007</v>
      </c>
      <c r="F66" s="4" t="n">
        <v>0</v>
      </c>
      <c r="G66" s="4" t="n">
        <f aca="false">IF(E66&gt;0.5,1,0)</f>
        <v>0</v>
      </c>
      <c r="H66" s="4" t="str">
        <f aca="false">IF(G66=F66,"match","mismatch")</f>
        <v>match</v>
      </c>
    </row>
    <row r="67" customFormat="false" ht="15" hidden="false" customHeight="false" outlineLevel="0" collapsed="false">
      <c r="A67" s="8" t="s">
        <v>22</v>
      </c>
      <c r="B67" s="4" t="s">
        <v>23</v>
      </c>
      <c r="C67" s="4" t="n">
        <v>65</v>
      </c>
      <c r="D67" s="4" t="s">
        <v>41</v>
      </c>
      <c r="E67" s="9" t="n">
        <v>0.02</v>
      </c>
      <c r="F67" s="4" t="n">
        <v>0</v>
      </c>
      <c r="G67" s="4" t="n">
        <f aca="false">IF(E67&gt;0.5,1,0)</f>
        <v>0</v>
      </c>
      <c r="H67" s="4" t="str">
        <f aca="false">IF(G67=F67,"match","mismatch")</f>
        <v>match</v>
      </c>
    </row>
    <row r="68" customFormat="false" ht="15" hidden="false" customHeight="false" outlineLevel="0" collapsed="false">
      <c r="A68" s="8" t="s">
        <v>22</v>
      </c>
      <c r="B68" s="4" t="s">
        <v>23</v>
      </c>
      <c r="C68" s="4" t="n">
        <v>66</v>
      </c>
      <c r="D68" s="4" t="s">
        <v>23</v>
      </c>
      <c r="E68" s="9" t="n">
        <v>0.01</v>
      </c>
      <c r="F68" s="4" t="n">
        <v>0</v>
      </c>
      <c r="G68" s="4" t="n">
        <f aca="false">IF(E68&gt;0.5,1,0)</f>
        <v>0</v>
      </c>
      <c r="H68" s="4" t="str">
        <f aca="false">IF(G68=F68,"match","mismatch")</f>
        <v>match</v>
      </c>
    </row>
    <row r="69" customFormat="false" ht="15" hidden="false" customHeight="false" outlineLevel="0" collapsed="false">
      <c r="A69" s="8" t="s">
        <v>22</v>
      </c>
      <c r="B69" s="4" t="s">
        <v>23</v>
      </c>
      <c r="C69" s="4" t="n">
        <v>67</v>
      </c>
      <c r="D69" s="4" t="s">
        <v>44</v>
      </c>
      <c r="E69" s="9" t="n">
        <v>0.217</v>
      </c>
      <c r="F69" s="4" t="n">
        <v>0</v>
      </c>
      <c r="G69" s="4" t="n">
        <f aca="false">IF(E69&gt;0.5,1,0)</f>
        <v>0</v>
      </c>
      <c r="H69" s="4" t="str">
        <f aca="false">IF(G69=F69,"match","mismatch")</f>
        <v>match</v>
      </c>
    </row>
    <row r="70" customFormat="false" ht="15" hidden="false" customHeight="false" outlineLevel="0" collapsed="false">
      <c r="A70" s="8" t="s">
        <v>22</v>
      </c>
      <c r="B70" s="4" t="s">
        <v>23</v>
      </c>
      <c r="C70" s="4" t="n">
        <v>68</v>
      </c>
      <c r="D70" s="4" t="s">
        <v>36</v>
      </c>
      <c r="E70" s="9" t="n">
        <v>0.02</v>
      </c>
      <c r="F70" s="4" t="n">
        <v>0</v>
      </c>
      <c r="G70" s="4" t="n">
        <f aca="false">IF(E70&gt;0.5,1,0)</f>
        <v>0</v>
      </c>
      <c r="H70" s="4" t="str">
        <f aca="false">IF(G70=F70,"match","mismatch")</f>
        <v>match</v>
      </c>
    </row>
    <row r="71" customFormat="false" ht="15" hidden="false" customHeight="false" outlineLevel="0" collapsed="false">
      <c r="A71" s="8" t="s">
        <v>22</v>
      </c>
      <c r="B71" s="4" t="s">
        <v>23</v>
      </c>
      <c r="C71" s="4" t="n">
        <v>69</v>
      </c>
      <c r="D71" s="4" t="s">
        <v>25</v>
      </c>
      <c r="E71" s="9" t="n">
        <v>0.021</v>
      </c>
      <c r="F71" s="4" t="n">
        <v>0</v>
      </c>
      <c r="G71" s="4" t="n">
        <f aca="false">IF(E71&gt;0.5,1,0)</f>
        <v>0</v>
      </c>
      <c r="H71" s="4" t="str">
        <f aca="false">IF(G71=F71,"match","mismatch")</f>
        <v>match</v>
      </c>
    </row>
    <row r="72" customFormat="false" ht="15" hidden="false" customHeight="false" outlineLevel="0" collapsed="false">
      <c r="A72" s="8" t="s">
        <v>22</v>
      </c>
      <c r="B72" s="4" t="s">
        <v>23</v>
      </c>
      <c r="C72" s="4" t="n">
        <v>70</v>
      </c>
      <c r="D72" s="4" t="s">
        <v>33</v>
      </c>
      <c r="E72" s="9" t="n">
        <v>0.35</v>
      </c>
      <c r="F72" s="4" t="n">
        <v>0</v>
      </c>
      <c r="G72" s="4" t="n">
        <f aca="false">IF(E72&gt;0.5,1,0)</f>
        <v>0</v>
      </c>
      <c r="H72" s="4" t="str">
        <f aca="false">IF(G72=F72,"match","mismatch")</f>
        <v>match</v>
      </c>
    </row>
    <row r="73" customFormat="false" ht="15" hidden="false" customHeight="false" outlineLevel="0" collapsed="false">
      <c r="A73" s="8" t="s">
        <v>22</v>
      </c>
      <c r="B73" s="4" t="s">
        <v>23</v>
      </c>
      <c r="C73" s="4" t="n">
        <v>71</v>
      </c>
      <c r="D73" s="4" t="s">
        <v>31</v>
      </c>
      <c r="E73" s="9" t="n">
        <v>0.006</v>
      </c>
      <c r="F73" s="4" t="n">
        <v>0</v>
      </c>
      <c r="G73" s="4" t="n">
        <f aca="false">IF(E73&gt;0.5,1,0)</f>
        <v>0</v>
      </c>
      <c r="H73" s="4" t="str">
        <f aca="false">IF(G73=F73,"match","mismatch")</f>
        <v>match</v>
      </c>
    </row>
    <row r="74" customFormat="false" ht="15" hidden="false" customHeight="false" outlineLevel="0" collapsed="false">
      <c r="A74" s="8" t="s">
        <v>22</v>
      </c>
      <c r="B74" s="4" t="s">
        <v>23</v>
      </c>
      <c r="C74" s="4" t="n">
        <v>72</v>
      </c>
      <c r="D74" s="4" t="s">
        <v>44</v>
      </c>
      <c r="E74" s="9" t="n">
        <v>0.006</v>
      </c>
      <c r="F74" s="4" t="n">
        <v>0</v>
      </c>
      <c r="G74" s="4" t="n">
        <f aca="false">IF(E74&gt;0.5,1,0)</f>
        <v>0</v>
      </c>
      <c r="H74" s="4" t="str">
        <f aca="false">IF(G74=F74,"match","mismatch")</f>
        <v>match</v>
      </c>
    </row>
    <row r="75" customFormat="false" ht="15" hidden="false" customHeight="false" outlineLevel="0" collapsed="false">
      <c r="A75" s="8" t="s">
        <v>22</v>
      </c>
      <c r="B75" s="4" t="s">
        <v>23</v>
      </c>
      <c r="C75" s="4" t="n">
        <v>73</v>
      </c>
      <c r="D75" s="4" t="s">
        <v>27</v>
      </c>
      <c r="E75" s="9" t="n">
        <v>0.012</v>
      </c>
      <c r="F75" s="4" t="n">
        <v>0</v>
      </c>
      <c r="G75" s="4" t="n">
        <f aca="false">IF(E75&gt;0.5,1,0)</f>
        <v>0</v>
      </c>
      <c r="H75" s="4" t="str">
        <f aca="false">IF(G75=F75,"match","mismatch")</f>
        <v>match</v>
      </c>
    </row>
    <row r="76" customFormat="false" ht="15" hidden="false" customHeight="false" outlineLevel="0" collapsed="false">
      <c r="A76" s="8" t="s">
        <v>22</v>
      </c>
      <c r="B76" s="4" t="s">
        <v>23</v>
      </c>
      <c r="C76" s="4" t="n">
        <v>74</v>
      </c>
      <c r="D76" s="4" t="s">
        <v>26</v>
      </c>
      <c r="E76" s="9" t="n">
        <v>0.014</v>
      </c>
      <c r="F76" s="4" t="n">
        <v>0</v>
      </c>
      <c r="G76" s="4" t="n">
        <f aca="false">IF(E76&gt;0.5,1,0)</f>
        <v>0</v>
      </c>
      <c r="H76" s="4" t="str">
        <f aca="false">IF(G76=F76,"match","mismatch")</f>
        <v>match</v>
      </c>
    </row>
    <row r="77" customFormat="false" ht="15" hidden="false" customHeight="false" outlineLevel="0" collapsed="false">
      <c r="A77" s="8" t="s">
        <v>22</v>
      </c>
      <c r="B77" s="4" t="s">
        <v>23</v>
      </c>
      <c r="C77" s="4" t="n">
        <v>75</v>
      </c>
      <c r="D77" s="4" t="s">
        <v>40</v>
      </c>
      <c r="E77" s="9" t="n">
        <v>0.003</v>
      </c>
      <c r="F77" s="4" t="n">
        <v>0</v>
      </c>
      <c r="G77" s="4" t="n">
        <f aca="false">IF(E77&gt;0.5,1,0)</f>
        <v>0</v>
      </c>
      <c r="H77" s="4" t="str">
        <f aca="false">IF(G77=F77,"match","mismatch")</f>
        <v>match</v>
      </c>
    </row>
    <row r="78" customFormat="false" ht="15" hidden="false" customHeight="false" outlineLevel="0" collapsed="false">
      <c r="A78" s="8" t="s">
        <v>22</v>
      </c>
      <c r="B78" s="4" t="s">
        <v>23</v>
      </c>
      <c r="C78" s="4" t="n">
        <v>76</v>
      </c>
      <c r="D78" s="4" t="s">
        <v>30</v>
      </c>
      <c r="E78" s="9" t="n">
        <v>0.004</v>
      </c>
      <c r="F78" s="4" t="n">
        <v>0</v>
      </c>
      <c r="G78" s="4" t="n">
        <f aca="false">IF(E78&gt;0.5,1,0)</f>
        <v>0</v>
      </c>
      <c r="H78" s="4" t="str">
        <f aca="false">IF(G78=F78,"match","mismatch")</f>
        <v>match</v>
      </c>
    </row>
    <row r="79" customFormat="false" ht="15" hidden="false" customHeight="false" outlineLevel="0" collapsed="false">
      <c r="A79" s="8" t="s">
        <v>22</v>
      </c>
      <c r="B79" s="4" t="s">
        <v>23</v>
      </c>
      <c r="C79" s="4" t="n">
        <v>77</v>
      </c>
      <c r="D79" s="4" t="s">
        <v>40</v>
      </c>
      <c r="E79" s="9" t="n">
        <v>0.009</v>
      </c>
      <c r="F79" s="4" t="n">
        <v>0</v>
      </c>
      <c r="G79" s="4" t="n">
        <f aca="false">IF(E79&gt;0.5,1,0)</f>
        <v>0</v>
      </c>
      <c r="H79" s="4" t="str">
        <f aca="false">IF(G79=F79,"match","mismatch")</f>
        <v>match</v>
      </c>
    </row>
    <row r="80" customFormat="false" ht="15" hidden="false" customHeight="false" outlineLevel="0" collapsed="false">
      <c r="A80" s="8" t="s">
        <v>22</v>
      </c>
      <c r="B80" s="4" t="s">
        <v>23</v>
      </c>
      <c r="C80" s="4" t="n">
        <v>78</v>
      </c>
      <c r="D80" s="4" t="s">
        <v>28</v>
      </c>
      <c r="E80" s="9" t="n">
        <v>0.001</v>
      </c>
      <c r="F80" s="4" t="n">
        <v>0</v>
      </c>
      <c r="G80" s="4" t="n">
        <f aca="false">IF(E80&gt;0.5,1,0)</f>
        <v>0</v>
      </c>
      <c r="H80" s="4" t="str">
        <f aca="false">IF(G80=F80,"match","mismatch")</f>
        <v>match</v>
      </c>
    </row>
    <row r="81" customFormat="false" ht="15" hidden="false" customHeight="false" outlineLevel="0" collapsed="false">
      <c r="A81" s="8" t="s">
        <v>22</v>
      </c>
      <c r="B81" s="4" t="s">
        <v>23</v>
      </c>
      <c r="C81" s="4" t="n">
        <v>79</v>
      </c>
      <c r="D81" s="4" t="s">
        <v>23</v>
      </c>
      <c r="E81" s="9" t="n">
        <v>0.001</v>
      </c>
      <c r="F81" s="4" t="n">
        <v>0</v>
      </c>
      <c r="G81" s="4" t="n">
        <f aca="false">IF(E81&gt;0.5,1,0)</f>
        <v>0</v>
      </c>
      <c r="H81" s="4" t="str">
        <f aca="false">IF(G81=F81,"match","mismatch")</f>
        <v>match</v>
      </c>
    </row>
    <row r="82" customFormat="false" ht="15" hidden="false" customHeight="false" outlineLevel="0" collapsed="false">
      <c r="A82" s="8" t="s">
        <v>22</v>
      </c>
      <c r="B82" s="4" t="s">
        <v>23</v>
      </c>
      <c r="C82" s="4" t="n">
        <v>80</v>
      </c>
      <c r="D82" s="4" t="s">
        <v>33</v>
      </c>
      <c r="E82" s="9" t="n">
        <v>0.001</v>
      </c>
      <c r="F82" s="4" t="n">
        <v>0</v>
      </c>
      <c r="G82" s="4" t="n">
        <f aca="false">IF(E82&gt;0.5,1,0)</f>
        <v>0</v>
      </c>
      <c r="H82" s="4" t="str">
        <f aca="false">IF(G82=F82,"match","mismatch")</f>
        <v>match</v>
      </c>
    </row>
    <row r="83" customFormat="false" ht="15" hidden="false" customHeight="false" outlineLevel="0" collapsed="false">
      <c r="A83" s="8" t="s">
        <v>22</v>
      </c>
      <c r="B83" s="4" t="s">
        <v>23</v>
      </c>
      <c r="C83" s="4" t="n">
        <v>81</v>
      </c>
      <c r="D83" s="4" t="s">
        <v>24</v>
      </c>
      <c r="E83" s="9" t="n">
        <v>0.002</v>
      </c>
      <c r="F83" s="4" t="n">
        <v>0</v>
      </c>
      <c r="G83" s="4" t="n">
        <f aca="false">IF(E83&gt;0.5,1,0)</f>
        <v>0</v>
      </c>
      <c r="H83" s="4" t="str">
        <f aca="false">IF(G83=F83,"match","mismatch")</f>
        <v>match</v>
      </c>
    </row>
    <row r="84" customFormat="false" ht="15" hidden="false" customHeight="false" outlineLevel="0" collapsed="false">
      <c r="A84" s="8" t="s">
        <v>22</v>
      </c>
      <c r="B84" s="4" t="s">
        <v>23</v>
      </c>
      <c r="C84" s="4" t="n">
        <v>82</v>
      </c>
      <c r="D84" s="4" t="s">
        <v>31</v>
      </c>
      <c r="E84" s="9" t="n">
        <v>0</v>
      </c>
      <c r="F84" s="4" t="n">
        <v>0</v>
      </c>
      <c r="G84" s="4" t="n">
        <f aca="false">IF(E84&gt;0.5,1,0)</f>
        <v>0</v>
      </c>
      <c r="H84" s="4" t="str">
        <f aca="false">IF(G84=F84,"match","mismatch")</f>
        <v>match</v>
      </c>
    </row>
    <row r="85" customFormat="false" ht="15" hidden="false" customHeight="false" outlineLevel="0" collapsed="false">
      <c r="A85" s="8" t="s">
        <v>22</v>
      </c>
      <c r="B85" s="4" t="s">
        <v>23</v>
      </c>
      <c r="C85" s="4" t="n">
        <v>83</v>
      </c>
      <c r="D85" s="4" t="s">
        <v>37</v>
      </c>
      <c r="E85" s="9" t="n">
        <v>0.002</v>
      </c>
      <c r="F85" s="4" t="n">
        <v>0</v>
      </c>
      <c r="G85" s="4" t="n">
        <f aca="false">IF(E85&gt;0.5,1,0)</f>
        <v>0</v>
      </c>
      <c r="H85" s="4" t="str">
        <f aca="false">IF(G85=F85,"match","mismatch")</f>
        <v>match</v>
      </c>
    </row>
    <row r="86" customFormat="false" ht="15" hidden="false" customHeight="false" outlineLevel="0" collapsed="false">
      <c r="A86" s="8" t="s">
        <v>22</v>
      </c>
      <c r="B86" s="4" t="s">
        <v>23</v>
      </c>
      <c r="C86" s="4" t="n">
        <v>84</v>
      </c>
      <c r="D86" s="4" t="s">
        <v>32</v>
      </c>
      <c r="E86" s="9" t="n">
        <v>0.001</v>
      </c>
      <c r="F86" s="4" t="n">
        <v>0</v>
      </c>
      <c r="G86" s="4" t="n">
        <f aca="false">IF(E86&gt;0.5,1,0)</f>
        <v>0</v>
      </c>
      <c r="H86" s="4" t="str">
        <f aca="false">IF(G86=F86,"match","mismatch")</f>
        <v>match</v>
      </c>
    </row>
    <row r="87" customFormat="false" ht="15" hidden="false" customHeight="false" outlineLevel="0" collapsed="false">
      <c r="A87" s="8" t="s">
        <v>22</v>
      </c>
      <c r="B87" s="4" t="s">
        <v>23</v>
      </c>
      <c r="C87" s="4" t="n">
        <v>85</v>
      </c>
      <c r="D87" s="4" t="s">
        <v>41</v>
      </c>
      <c r="E87" s="9" t="n">
        <v>0.001</v>
      </c>
      <c r="F87" s="4" t="n">
        <v>0</v>
      </c>
      <c r="G87" s="4" t="n">
        <f aca="false">IF(E87&gt;0.5,1,0)</f>
        <v>0</v>
      </c>
      <c r="H87" s="4" t="str">
        <f aca="false">IF(G87=F87,"match","mismatch")</f>
        <v>match</v>
      </c>
    </row>
    <row r="88" customFormat="false" ht="15" hidden="false" customHeight="false" outlineLevel="0" collapsed="false">
      <c r="A88" s="8" t="s">
        <v>22</v>
      </c>
      <c r="B88" s="4" t="s">
        <v>23</v>
      </c>
      <c r="C88" s="4" t="n">
        <v>86</v>
      </c>
      <c r="D88" s="4" t="s">
        <v>23</v>
      </c>
      <c r="E88" s="9" t="n">
        <v>0.003</v>
      </c>
      <c r="F88" s="4" t="n">
        <v>0</v>
      </c>
      <c r="G88" s="4" t="n">
        <f aca="false">IF(E88&gt;0.5,1,0)</f>
        <v>0</v>
      </c>
      <c r="H88" s="4" t="str">
        <f aca="false">IF(G88=F88,"match","mismatch")</f>
        <v>match</v>
      </c>
    </row>
    <row r="89" customFormat="false" ht="15" hidden="false" customHeight="false" outlineLevel="0" collapsed="false">
      <c r="A89" s="8" t="s">
        <v>22</v>
      </c>
      <c r="B89" s="4" t="s">
        <v>23</v>
      </c>
      <c r="C89" s="4" t="n">
        <v>87</v>
      </c>
      <c r="D89" s="4" t="s">
        <v>30</v>
      </c>
      <c r="E89" s="9" t="n">
        <v>0.001</v>
      </c>
      <c r="F89" s="4" t="n">
        <v>0</v>
      </c>
      <c r="G89" s="4" t="n">
        <f aca="false">IF(E89&gt;0.5,1,0)</f>
        <v>0</v>
      </c>
      <c r="H89" s="4" t="str">
        <f aca="false">IF(G89=F89,"match","mismatch")</f>
        <v>match</v>
      </c>
    </row>
    <row r="90" customFormat="false" ht="15" hidden="false" customHeight="false" outlineLevel="0" collapsed="false">
      <c r="A90" s="8" t="s">
        <v>22</v>
      </c>
      <c r="B90" s="4" t="s">
        <v>23</v>
      </c>
      <c r="C90" s="4" t="n">
        <v>88</v>
      </c>
      <c r="D90" s="4" t="s">
        <v>37</v>
      </c>
      <c r="E90" s="9" t="n">
        <v>0.001</v>
      </c>
      <c r="F90" s="4" t="n">
        <v>0</v>
      </c>
      <c r="G90" s="4" t="n">
        <f aca="false">IF(E90&gt;0.5,1,0)</f>
        <v>0</v>
      </c>
      <c r="H90" s="4" t="str">
        <f aca="false">IF(G90=F90,"match","mismatch")</f>
        <v>match</v>
      </c>
    </row>
    <row r="91" customFormat="false" ht="15" hidden="false" customHeight="false" outlineLevel="0" collapsed="false">
      <c r="A91" s="8" t="s">
        <v>22</v>
      </c>
      <c r="B91" s="4" t="s">
        <v>23</v>
      </c>
      <c r="C91" s="4" t="n">
        <v>89</v>
      </c>
      <c r="D91" s="4" t="s">
        <v>41</v>
      </c>
      <c r="E91" s="9" t="n">
        <v>0.002</v>
      </c>
      <c r="F91" s="4" t="n">
        <v>0</v>
      </c>
      <c r="G91" s="4" t="n">
        <f aca="false">IF(E91&gt;0.5,1,0)</f>
        <v>0</v>
      </c>
      <c r="H91" s="4" t="str">
        <f aca="false">IF(G91=F91,"match","mismatch")</f>
        <v>match</v>
      </c>
    </row>
    <row r="92" customFormat="false" ht="15" hidden="false" customHeight="false" outlineLevel="0" collapsed="false">
      <c r="A92" s="8" t="s">
        <v>22</v>
      </c>
      <c r="B92" s="4" t="s">
        <v>23</v>
      </c>
      <c r="C92" s="4" t="n">
        <v>90</v>
      </c>
      <c r="D92" s="4" t="s">
        <v>28</v>
      </c>
      <c r="E92" s="9" t="n">
        <v>0.003</v>
      </c>
      <c r="F92" s="4" t="n">
        <v>0</v>
      </c>
      <c r="G92" s="4" t="n">
        <f aca="false">IF(E92&gt;0.5,1,0)</f>
        <v>0</v>
      </c>
      <c r="H92" s="4" t="str">
        <f aca="false">IF(G92=F92,"match","mismatch")</f>
        <v>match</v>
      </c>
    </row>
    <row r="93" customFormat="false" ht="15" hidden="false" customHeight="false" outlineLevel="0" collapsed="false">
      <c r="A93" s="8" t="s">
        <v>22</v>
      </c>
      <c r="B93" s="4" t="s">
        <v>23</v>
      </c>
      <c r="C93" s="4" t="n">
        <v>91</v>
      </c>
      <c r="D93" s="4" t="s">
        <v>26</v>
      </c>
      <c r="E93" s="9" t="n">
        <v>0.009</v>
      </c>
      <c r="F93" s="4" t="n">
        <v>0</v>
      </c>
      <c r="G93" s="4" t="n">
        <f aca="false">IF(E93&gt;0.5,1,0)</f>
        <v>0</v>
      </c>
      <c r="H93" s="4" t="str">
        <f aca="false">IF(G93=F93,"match","mismatch")</f>
        <v>match</v>
      </c>
    </row>
    <row r="94" customFormat="false" ht="15" hidden="false" customHeight="false" outlineLevel="0" collapsed="false">
      <c r="A94" s="8" t="s">
        <v>22</v>
      </c>
      <c r="B94" s="4" t="s">
        <v>23</v>
      </c>
      <c r="C94" s="4" t="n">
        <v>92</v>
      </c>
      <c r="D94" s="4" t="s">
        <v>25</v>
      </c>
      <c r="E94" s="9" t="n">
        <v>0.004</v>
      </c>
      <c r="F94" s="4" t="n">
        <v>0</v>
      </c>
      <c r="G94" s="4" t="n">
        <f aca="false">IF(E94&gt;0.5,1,0)</f>
        <v>0</v>
      </c>
      <c r="H94" s="4" t="str">
        <f aca="false">IF(G94=F94,"match","mismatch")</f>
        <v>match</v>
      </c>
    </row>
    <row r="95" customFormat="false" ht="15" hidden="false" customHeight="false" outlineLevel="0" collapsed="false">
      <c r="A95" s="8" t="s">
        <v>22</v>
      </c>
      <c r="B95" s="4" t="s">
        <v>23</v>
      </c>
      <c r="C95" s="4" t="n">
        <v>93</v>
      </c>
      <c r="D95" s="4" t="s">
        <v>33</v>
      </c>
      <c r="E95" s="9" t="n">
        <v>0.002</v>
      </c>
      <c r="F95" s="4" t="n">
        <v>0</v>
      </c>
      <c r="G95" s="4" t="n">
        <f aca="false">IF(E95&gt;0.5,1,0)</f>
        <v>0</v>
      </c>
      <c r="H95" s="4" t="str">
        <f aca="false">IF(G95=F95,"match","mismatch")</f>
        <v>match</v>
      </c>
    </row>
    <row r="96" customFormat="false" ht="15" hidden="false" customHeight="false" outlineLevel="0" collapsed="false">
      <c r="A96" s="8" t="s">
        <v>22</v>
      </c>
      <c r="B96" s="4" t="s">
        <v>23</v>
      </c>
      <c r="C96" s="4" t="n">
        <v>94</v>
      </c>
      <c r="D96" s="4" t="s">
        <v>30</v>
      </c>
      <c r="E96" s="9" t="n">
        <v>0.003</v>
      </c>
      <c r="F96" s="4" t="n">
        <v>0</v>
      </c>
      <c r="G96" s="4" t="n">
        <f aca="false">IF(E96&gt;0.5,1,0)</f>
        <v>0</v>
      </c>
      <c r="H96" s="4" t="str">
        <f aca="false">IF(G96=F96,"match","mismatch")</f>
        <v>match</v>
      </c>
    </row>
    <row r="97" customFormat="false" ht="15" hidden="false" customHeight="false" outlineLevel="0" collapsed="false">
      <c r="A97" s="8" t="s">
        <v>22</v>
      </c>
      <c r="B97" s="4" t="s">
        <v>23</v>
      </c>
      <c r="C97" s="4" t="n">
        <v>95</v>
      </c>
      <c r="D97" s="4" t="s">
        <v>25</v>
      </c>
      <c r="E97" s="9" t="n">
        <v>0.003</v>
      </c>
      <c r="F97" s="4" t="n">
        <v>0</v>
      </c>
      <c r="G97" s="4" t="n">
        <f aca="false">IF(E97&gt;0.5,1,0)</f>
        <v>0</v>
      </c>
      <c r="H97" s="4" t="str">
        <f aca="false">IF(G97=F97,"match","mismatch")</f>
        <v>match</v>
      </c>
    </row>
    <row r="98" customFormat="false" ht="15" hidden="false" customHeight="false" outlineLevel="0" collapsed="false">
      <c r="A98" s="8" t="s">
        <v>22</v>
      </c>
      <c r="B98" s="4" t="s">
        <v>23</v>
      </c>
      <c r="C98" s="4" t="n">
        <v>96</v>
      </c>
      <c r="D98" s="4" t="s">
        <v>33</v>
      </c>
      <c r="E98" s="9" t="n">
        <v>0.001</v>
      </c>
      <c r="F98" s="4" t="n">
        <v>0</v>
      </c>
      <c r="G98" s="4" t="n">
        <f aca="false">IF(E98&gt;0.5,1,0)</f>
        <v>0</v>
      </c>
      <c r="H98" s="4" t="str">
        <f aca="false">IF(G98=F98,"match","mismatch")</f>
        <v>match</v>
      </c>
    </row>
    <row r="99" customFormat="false" ht="15" hidden="false" customHeight="false" outlineLevel="0" collapsed="false">
      <c r="A99" s="8" t="s">
        <v>22</v>
      </c>
      <c r="B99" s="4" t="s">
        <v>23</v>
      </c>
      <c r="C99" s="4" t="n">
        <v>97</v>
      </c>
      <c r="D99" s="4" t="s">
        <v>36</v>
      </c>
      <c r="E99" s="9" t="n">
        <v>0.002</v>
      </c>
      <c r="F99" s="4" t="n">
        <v>0</v>
      </c>
      <c r="G99" s="4" t="n">
        <f aca="false">IF(E99&gt;0.5,1,0)</f>
        <v>0</v>
      </c>
      <c r="H99" s="4" t="str">
        <f aca="false">IF(G99=F99,"match","mismatch")</f>
        <v>match</v>
      </c>
    </row>
    <row r="100" customFormat="false" ht="15" hidden="false" customHeight="false" outlineLevel="0" collapsed="false">
      <c r="A100" s="8" t="s">
        <v>22</v>
      </c>
      <c r="B100" s="4" t="s">
        <v>23</v>
      </c>
      <c r="C100" s="4" t="n">
        <v>98</v>
      </c>
      <c r="D100" s="4" t="s">
        <v>29</v>
      </c>
      <c r="E100" s="9" t="n">
        <v>0.006</v>
      </c>
      <c r="F100" s="4" t="n">
        <v>0</v>
      </c>
      <c r="G100" s="4" t="n">
        <f aca="false">IF(E100&gt;0.5,1,0)</f>
        <v>0</v>
      </c>
      <c r="H100" s="4" t="str">
        <f aca="false">IF(G100=F100,"match","mismatch")</f>
        <v>match</v>
      </c>
    </row>
    <row r="101" customFormat="false" ht="15" hidden="false" customHeight="false" outlineLevel="0" collapsed="false">
      <c r="A101" s="8" t="s">
        <v>22</v>
      </c>
      <c r="B101" s="4" t="s">
        <v>23</v>
      </c>
      <c r="C101" s="4" t="n">
        <v>99</v>
      </c>
      <c r="D101" s="4" t="s">
        <v>30</v>
      </c>
      <c r="E101" s="9" t="n">
        <v>0.003</v>
      </c>
      <c r="F101" s="4" t="n">
        <v>0</v>
      </c>
      <c r="G101" s="4" t="n">
        <f aca="false">IF(E101&gt;0.5,1,0)</f>
        <v>0</v>
      </c>
      <c r="H101" s="4" t="str">
        <f aca="false">IF(G101=F101,"match","mismatch")</f>
        <v>match</v>
      </c>
    </row>
    <row r="102" customFormat="false" ht="15" hidden="false" customHeight="false" outlineLevel="0" collapsed="false">
      <c r="A102" s="8" t="s">
        <v>22</v>
      </c>
      <c r="B102" s="4" t="s">
        <v>23</v>
      </c>
      <c r="C102" s="4" t="n">
        <v>100</v>
      </c>
      <c r="D102" s="4" t="s">
        <v>32</v>
      </c>
      <c r="E102" s="9" t="n">
        <v>0.001</v>
      </c>
      <c r="F102" s="4" t="n">
        <v>0</v>
      </c>
      <c r="G102" s="4" t="n">
        <f aca="false">IF(E102&gt;0.5,1,0)</f>
        <v>0</v>
      </c>
      <c r="H102" s="4" t="str">
        <f aca="false">IF(G102=F102,"match","mismatch")</f>
        <v>match</v>
      </c>
    </row>
    <row r="103" customFormat="false" ht="15" hidden="false" customHeight="false" outlineLevel="0" collapsed="false">
      <c r="A103" s="8" t="s">
        <v>22</v>
      </c>
      <c r="B103" s="4" t="s">
        <v>23</v>
      </c>
      <c r="C103" s="4" t="n">
        <v>101</v>
      </c>
      <c r="D103" s="4" t="s">
        <v>33</v>
      </c>
      <c r="E103" s="9" t="n">
        <v>0.005</v>
      </c>
      <c r="F103" s="4" t="n">
        <v>0</v>
      </c>
      <c r="G103" s="4" t="n">
        <f aca="false">IF(E103&gt;0.5,1,0)</f>
        <v>0</v>
      </c>
      <c r="H103" s="4" t="str">
        <f aca="false">IF(G103=F103,"match","mismatch")</f>
        <v>match</v>
      </c>
    </row>
    <row r="104" customFormat="false" ht="15" hidden="false" customHeight="false" outlineLevel="0" collapsed="false">
      <c r="A104" s="8" t="s">
        <v>22</v>
      </c>
      <c r="B104" s="4" t="s">
        <v>23</v>
      </c>
      <c r="C104" s="4" t="n">
        <v>102</v>
      </c>
      <c r="D104" s="4" t="s">
        <v>36</v>
      </c>
      <c r="E104" s="9" t="n">
        <v>0.003</v>
      </c>
      <c r="F104" s="4" t="n">
        <v>0</v>
      </c>
      <c r="G104" s="4" t="n">
        <f aca="false">IF(E104&gt;0.5,1,0)</f>
        <v>0</v>
      </c>
      <c r="H104" s="4" t="str">
        <f aca="false">IF(G104=F104,"match","mismatch")</f>
        <v>match</v>
      </c>
    </row>
    <row r="105" customFormat="false" ht="15" hidden="false" customHeight="false" outlineLevel="0" collapsed="false">
      <c r="A105" s="8" t="s">
        <v>22</v>
      </c>
      <c r="B105" s="4" t="s">
        <v>23</v>
      </c>
      <c r="C105" s="4" t="n">
        <v>103</v>
      </c>
      <c r="D105" s="4" t="s">
        <v>24</v>
      </c>
      <c r="E105" s="9" t="n">
        <v>0.001</v>
      </c>
      <c r="F105" s="4" t="n">
        <v>0</v>
      </c>
      <c r="G105" s="4" t="n">
        <f aca="false">IF(E105&gt;0.5,1,0)</f>
        <v>0</v>
      </c>
      <c r="H105" s="4" t="str">
        <f aca="false">IF(G105=F105,"match","mismatch")</f>
        <v>match</v>
      </c>
    </row>
    <row r="106" customFormat="false" ht="15" hidden="false" customHeight="false" outlineLevel="0" collapsed="false">
      <c r="A106" s="8" t="s">
        <v>22</v>
      </c>
      <c r="B106" s="4" t="s">
        <v>23</v>
      </c>
      <c r="C106" s="4" t="n">
        <v>104</v>
      </c>
      <c r="D106" s="4" t="s">
        <v>27</v>
      </c>
      <c r="E106" s="9" t="n">
        <v>0.003</v>
      </c>
      <c r="F106" s="4" t="n">
        <v>0</v>
      </c>
      <c r="G106" s="4" t="n">
        <f aca="false">IF(E106&gt;0.5,1,0)</f>
        <v>0</v>
      </c>
      <c r="H106" s="4" t="str">
        <f aca="false">IF(G106=F106,"match","mismatch")</f>
        <v>match</v>
      </c>
    </row>
    <row r="107" customFormat="false" ht="15" hidden="false" customHeight="false" outlineLevel="0" collapsed="false">
      <c r="A107" s="8" t="s">
        <v>22</v>
      </c>
      <c r="B107" s="4" t="s">
        <v>23</v>
      </c>
      <c r="C107" s="4" t="n">
        <v>105</v>
      </c>
      <c r="D107" s="4" t="s">
        <v>25</v>
      </c>
      <c r="E107" s="9" t="n">
        <v>0.013</v>
      </c>
      <c r="F107" s="4" t="n">
        <v>0</v>
      </c>
      <c r="G107" s="4" t="n">
        <f aca="false">IF(E107&gt;0.5,1,0)</f>
        <v>0</v>
      </c>
      <c r="H107" s="4" t="str">
        <f aca="false">IF(G107=F107,"match","mismatch")</f>
        <v>match</v>
      </c>
    </row>
    <row r="108" customFormat="false" ht="15" hidden="false" customHeight="false" outlineLevel="0" collapsed="false">
      <c r="A108" s="8" t="s">
        <v>22</v>
      </c>
      <c r="B108" s="4" t="s">
        <v>23</v>
      </c>
      <c r="C108" s="4" t="n">
        <v>106</v>
      </c>
      <c r="D108" s="4" t="s">
        <v>41</v>
      </c>
      <c r="E108" s="9" t="n">
        <v>0.003</v>
      </c>
      <c r="F108" s="4" t="n">
        <v>0</v>
      </c>
      <c r="G108" s="4" t="n">
        <f aca="false">IF(E108&gt;0.5,1,0)</f>
        <v>0</v>
      </c>
      <c r="H108" s="4" t="str">
        <f aca="false">IF(G108=F108,"match","mismatch")</f>
        <v>match</v>
      </c>
    </row>
    <row r="109" customFormat="false" ht="15" hidden="false" customHeight="false" outlineLevel="0" collapsed="false">
      <c r="A109" s="8" t="s">
        <v>22</v>
      </c>
      <c r="B109" s="4" t="s">
        <v>23</v>
      </c>
      <c r="C109" s="4" t="n">
        <v>107</v>
      </c>
      <c r="D109" s="4" t="s">
        <v>29</v>
      </c>
      <c r="E109" s="9" t="n">
        <v>0.003</v>
      </c>
      <c r="F109" s="4" t="n">
        <v>0</v>
      </c>
      <c r="G109" s="4" t="n">
        <f aca="false">IF(E109&gt;0.5,1,0)</f>
        <v>0</v>
      </c>
      <c r="H109" s="4" t="str">
        <f aca="false">IF(G109=F109,"match","mismatch")</f>
        <v>match</v>
      </c>
    </row>
    <row r="110" customFormat="false" ht="15" hidden="false" customHeight="false" outlineLevel="0" collapsed="false">
      <c r="A110" s="8" t="s">
        <v>22</v>
      </c>
      <c r="B110" s="4" t="s">
        <v>23</v>
      </c>
      <c r="C110" s="4" t="n">
        <v>108</v>
      </c>
      <c r="D110" s="4" t="s">
        <v>25</v>
      </c>
      <c r="E110" s="9" t="n">
        <v>0.003</v>
      </c>
      <c r="F110" s="4" t="n">
        <v>0</v>
      </c>
      <c r="G110" s="4" t="n">
        <f aca="false">IF(E110&gt;0.5,1,0)</f>
        <v>0</v>
      </c>
      <c r="H110" s="4" t="str">
        <f aca="false">IF(G110=F110,"match","mismatch")</f>
        <v>match</v>
      </c>
    </row>
    <row r="111" customFormat="false" ht="15" hidden="false" customHeight="false" outlineLevel="0" collapsed="false">
      <c r="A111" s="8" t="s">
        <v>22</v>
      </c>
      <c r="B111" s="4" t="s">
        <v>23</v>
      </c>
      <c r="C111" s="4" t="n">
        <v>109</v>
      </c>
      <c r="D111" s="4" t="s">
        <v>24</v>
      </c>
      <c r="E111" s="9" t="n">
        <v>0.002</v>
      </c>
      <c r="F111" s="4" t="n">
        <v>0</v>
      </c>
      <c r="G111" s="4" t="n">
        <f aca="false">IF(E111&gt;0.5,1,0)</f>
        <v>0</v>
      </c>
      <c r="H111" s="4" t="str">
        <f aca="false">IF(G111=F111,"match","mismatch")</f>
        <v>match</v>
      </c>
    </row>
    <row r="112" customFormat="false" ht="15" hidden="false" customHeight="false" outlineLevel="0" collapsed="false">
      <c r="A112" s="8" t="s">
        <v>22</v>
      </c>
      <c r="B112" s="4" t="s">
        <v>23</v>
      </c>
      <c r="C112" s="4" t="n">
        <v>110</v>
      </c>
      <c r="D112" s="4" t="s">
        <v>35</v>
      </c>
      <c r="E112" s="9" t="n">
        <v>0.002</v>
      </c>
      <c r="F112" s="4" t="n">
        <v>0</v>
      </c>
      <c r="G112" s="4" t="n">
        <f aca="false">IF(E112&gt;0.5,1,0)</f>
        <v>0</v>
      </c>
      <c r="H112" s="4" t="str">
        <f aca="false">IF(G112=F112,"match","mismatch")</f>
        <v>match</v>
      </c>
    </row>
    <row r="113" customFormat="false" ht="15" hidden="false" customHeight="false" outlineLevel="0" collapsed="false">
      <c r="A113" s="8" t="s">
        <v>22</v>
      </c>
      <c r="B113" s="4" t="s">
        <v>23</v>
      </c>
      <c r="C113" s="4" t="n">
        <v>111</v>
      </c>
      <c r="D113" s="4" t="s">
        <v>44</v>
      </c>
      <c r="E113" s="9" t="n">
        <v>0.001</v>
      </c>
      <c r="F113" s="4" t="n">
        <v>0</v>
      </c>
      <c r="G113" s="4" t="n">
        <f aca="false">IF(E113&gt;0.5,1,0)</f>
        <v>0</v>
      </c>
      <c r="H113" s="4" t="str">
        <f aca="false">IF(G113=F113,"match","mismatch")</f>
        <v>match</v>
      </c>
    </row>
    <row r="114" customFormat="false" ht="15" hidden="false" customHeight="false" outlineLevel="0" collapsed="false">
      <c r="A114" s="8" t="s">
        <v>22</v>
      </c>
      <c r="B114" s="4" t="s">
        <v>23</v>
      </c>
      <c r="C114" s="4" t="n">
        <v>112</v>
      </c>
      <c r="D114" s="4" t="s">
        <v>32</v>
      </c>
      <c r="E114" s="9" t="n">
        <v>0.001</v>
      </c>
      <c r="F114" s="4" t="n">
        <v>0</v>
      </c>
      <c r="G114" s="4" t="n">
        <f aca="false">IF(E114&gt;0.5,1,0)</f>
        <v>0</v>
      </c>
      <c r="H114" s="4" t="str">
        <f aca="false">IF(G114=F114,"match","mismatch")</f>
        <v>match</v>
      </c>
    </row>
    <row r="115" customFormat="false" ht="15" hidden="false" customHeight="false" outlineLevel="0" collapsed="false">
      <c r="A115" s="8" t="s">
        <v>22</v>
      </c>
      <c r="B115" s="4" t="s">
        <v>23</v>
      </c>
      <c r="C115" s="4" t="n">
        <v>113</v>
      </c>
      <c r="D115" s="4" t="s">
        <v>33</v>
      </c>
      <c r="E115" s="9" t="n">
        <v>0.002</v>
      </c>
      <c r="F115" s="4" t="n">
        <v>0</v>
      </c>
      <c r="G115" s="4" t="n">
        <f aca="false">IF(E115&gt;0.5,1,0)</f>
        <v>0</v>
      </c>
      <c r="H115" s="4" t="str">
        <f aca="false">IF(G115=F115,"match","mismatch")</f>
        <v>match</v>
      </c>
    </row>
    <row r="116" customFormat="false" ht="15" hidden="false" customHeight="false" outlineLevel="0" collapsed="false">
      <c r="A116" s="8" t="s">
        <v>22</v>
      </c>
      <c r="B116" s="4" t="s">
        <v>23</v>
      </c>
      <c r="C116" s="4" t="n">
        <v>114</v>
      </c>
      <c r="D116" s="4" t="s">
        <v>24</v>
      </c>
      <c r="E116" s="9" t="n">
        <v>0.002</v>
      </c>
      <c r="F116" s="4" t="n">
        <v>0</v>
      </c>
      <c r="G116" s="4" t="n">
        <f aca="false">IF(E116&gt;0.5,1,0)</f>
        <v>0</v>
      </c>
      <c r="H116" s="4" t="str">
        <f aca="false">IF(G116=F116,"match","mismatch")</f>
        <v>match</v>
      </c>
    </row>
    <row r="117" customFormat="false" ht="15" hidden="false" customHeight="false" outlineLevel="0" collapsed="false">
      <c r="A117" s="8" t="s">
        <v>22</v>
      </c>
      <c r="B117" s="4" t="s">
        <v>23</v>
      </c>
      <c r="C117" s="4" t="n">
        <v>115</v>
      </c>
      <c r="D117" s="4" t="s">
        <v>40</v>
      </c>
      <c r="E117" s="9" t="n">
        <v>0.002</v>
      </c>
      <c r="F117" s="4" t="n">
        <v>0</v>
      </c>
      <c r="G117" s="4" t="n">
        <f aca="false">IF(E117&gt;0.5,1,0)</f>
        <v>0</v>
      </c>
      <c r="H117" s="4" t="str">
        <f aca="false">IF(G117=F117,"match","mismatch")</f>
        <v>match</v>
      </c>
    </row>
    <row r="118" customFormat="false" ht="15" hidden="false" customHeight="false" outlineLevel="0" collapsed="false">
      <c r="A118" s="8" t="s">
        <v>22</v>
      </c>
      <c r="B118" s="4" t="s">
        <v>23</v>
      </c>
      <c r="C118" s="4" t="n">
        <v>116</v>
      </c>
      <c r="D118" s="4" t="s">
        <v>26</v>
      </c>
      <c r="E118" s="9" t="n">
        <v>0.001</v>
      </c>
      <c r="F118" s="4" t="n">
        <v>0</v>
      </c>
      <c r="G118" s="4" t="n">
        <f aca="false">IF(E118&gt;0.5,1,0)</f>
        <v>0</v>
      </c>
      <c r="H118" s="4" t="str">
        <f aca="false">IF(G118=F118,"match","mismatch")</f>
        <v>match</v>
      </c>
    </row>
    <row r="119" customFormat="false" ht="15" hidden="false" customHeight="false" outlineLevel="0" collapsed="false">
      <c r="A119" s="8" t="s">
        <v>22</v>
      </c>
      <c r="B119" s="4" t="s">
        <v>23</v>
      </c>
      <c r="C119" s="4" t="n">
        <v>117</v>
      </c>
      <c r="D119" s="4" t="s">
        <v>27</v>
      </c>
      <c r="E119" s="9" t="n">
        <v>0.001</v>
      </c>
      <c r="F119" s="4" t="n">
        <v>0</v>
      </c>
      <c r="G119" s="4" t="n">
        <f aca="false">IF(E119&gt;0.5,1,0)</f>
        <v>0</v>
      </c>
      <c r="H119" s="4" t="str">
        <f aca="false">IF(G119=F119,"match","mismatch")</f>
        <v>match</v>
      </c>
    </row>
    <row r="120" customFormat="false" ht="15" hidden="false" customHeight="false" outlineLevel="0" collapsed="false">
      <c r="A120" s="8" t="s">
        <v>22</v>
      </c>
      <c r="B120" s="4" t="s">
        <v>23</v>
      </c>
      <c r="C120" s="4" t="n">
        <v>118</v>
      </c>
      <c r="D120" s="4" t="s">
        <v>46</v>
      </c>
      <c r="E120" s="9" t="n">
        <v>0.001</v>
      </c>
      <c r="F120" s="4" t="n">
        <v>0</v>
      </c>
      <c r="G120" s="4" t="n">
        <f aca="false">IF(E120&gt;0.5,1,0)</f>
        <v>0</v>
      </c>
      <c r="H120" s="4" t="str">
        <f aca="false">IF(G120=F120,"match","mismatch")</f>
        <v>match</v>
      </c>
    </row>
    <row r="121" customFormat="false" ht="15" hidden="false" customHeight="false" outlineLevel="0" collapsed="false">
      <c r="A121" s="8" t="s">
        <v>22</v>
      </c>
      <c r="B121" s="4" t="s">
        <v>23</v>
      </c>
      <c r="C121" s="4" t="n">
        <v>119</v>
      </c>
      <c r="D121" s="4" t="s">
        <v>25</v>
      </c>
      <c r="E121" s="9" t="n">
        <v>0.001</v>
      </c>
      <c r="F121" s="4" t="n">
        <v>0</v>
      </c>
      <c r="G121" s="4" t="n">
        <f aca="false">IF(E121&gt;0.5,1,0)</f>
        <v>0</v>
      </c>
      <c r="H121" s="4" t="str">
        <f aca="false">IF(G121=F121,"match","mismatch")</f>
        <v>match</v>
      </c>
    </row>
    <row r="122" customFormat="false" ht="15" hidden="false" customHeight="false" outlineLevel="0" collapsed="false">
      <c r="A122" s="8" t="s">
        <v>22</v>
      </c>
      <c r="B122" s="4" t="s">
        <v>23</v>
      </c>
      <c r="C122" s="4" t="n">
        <v>120</v>
      </c>
      <c r="D122" s="4" t="s">
        <v>33</v>
      </c>
      <c r="E122" s="9" t="n">
        <v>0.001</v>
      </c>
      <c r="F122" s="4" t="n">
        <v>0</v>
      </c>
      <c r="G122" s="4" t="n">
        <f aca="false">IF(E122&gt;0.5,1,0)</f>
        <v>0</v>
      </c>
      <c r="H122" s="4" t="str">
        <f aca="false">IF(G122=F122,"match","mismatch")</f>
        <v>match</v>
      </c>
    </row>
    <row r="123" customFormat="false" ht="15" hidden="false" customHeight="false" outlineLevel="0" collapsed="false">
      <c r="A123" s="8" t="s">
        <v>22</v>
      </c>
      <c r="B123" s="4" t="s">
        <v>23</v>
      </c>
      <c r="C123" s="4" t="n">
        <v>121</v>
      </c>
      <c r="D123" s="4" t="s">
        <v>29</v>
      </c>
      <c r="E123" s="9" t="n">
        <v>0.001</v>
      </c>
      <c r="F123" s="4" t="n">
        <v>0</v>
      </c>
      <c r="G123" s="4" t="n">
        <f aca="false">IF(E123&gt;0.5,1,0)</f>
        <v>0</v>
      </c>
      <c r="H123" s="4" t="str">
        <f aca="false">IF(G123=F123,"match","mismatch")</f>
        <v>match</v>
      </c>
    </row>
    <row r="124" customFormat="false" ht="15" hidden="false" customHeight="false" outlineLevel="0" collapsed="false">
      <c r="A124" s="8" t="s">
        <v>22</v>
      </c>
      <c r="B124" s="4" t="s">
        <v>23</v>
      </c>
      <c r="C124" s="4" t="n">
        <v>122</v>
      </c>
      <c r="D124" s="4" t="s">
        <v>25</v>
      </c>
      <c r="E124" s="9" t="n">
        <v>0.004</v>
      </c>
      <c r="F124" s="4" t="n">
        <v>0</v>
      </c>
      <c r="G124" s="4" t="n">
        <f aca="false">IF(E124&gt;0.5,1,0)</f>
        <v>0</v>
      </c>
      <c r="H124" s="4" t="str">
        <f aca="false">IF(G124=F124,"match","mismatch")</f>
        <v>match</v>
      </c>
    </row>
    <row r="125" customFormat="false" ht="15" hidden="false" customHeight="false" outlineLevel="0" collapsed="false">
      <c r="A125" s="8" t="s">
        <v>22</v>
      </c>
      <c r="B125" s="4" t="s">
        <v>23</v>
      </c>
      <c r="C125" s="4" t="n">
        <v>123</v>
      </c>
      <c r="D125" s="4" t="s">
        <v>29</v>
      </c>
      <c r="E125" s="9" t="n">
        <v>0.002</v>
      </c>
      <c r="F125" s="4" t="n">
        <v>0</v>
      </c>
      <c r="G125" s="4" t="n">
        <f aca="false">IF(E125&gt;0.5,1,0)</f>
        <v>0</v>
      </c>
      <c r="H125" s="4" t="str">
        <f aca="false">IF(G125=F125,"match","mismatch")</f>
        <v>match</v>
      </c>
    </row>
    <row r="126" customFormat="false" ht="15" hidden="false" customHeight="false" outlineLevel="0" collapsed="false">
      <c r="A126" s="8" t="s">
        <v>22</v>
      </c>
      <c r="B126" s="4" t="s">
        <v>23</v>
      </c>
      <c r="C126" s="4" t="n">
        <v>124</v>
      </c>
      <c r="D126" s="4" t="s">
        <v>36</v>
      </c>
      <c r="E126" s="9" t="n">
        <v>0.002</v>
      </c>
      <c r="F126" s="4" t="n">
        <v>0</v>
      </c>
      <c r="G126" s="4" t="n">
        <f aca="false">IF(E126&gt;0.5,1,0)</f>
        <v>0</v>
      </c>
      <c r="H126" s="4" t="str">
        <f aca="false">IF(G126=F126,"match","mismatch")</f>
        <v>match</v>
      </c>
    </row>
    <row r="127" customFormat="false" ht="15" hidden="false" customHeight="false" outlineLevel="0" collapsed="false">
      <c r="A127" s="8" t="s">
        <v>22</v>
      </c>
      <c r="B127" s="4" t="s">
        <v>23</v>
      </c>
      <c r="C127" s="4" t="n">
        <v>125</v>
      </c>
      <c r="D127" s="4" t="s">
        <v>24</v>
      </c>
      <c r="E127" s="9" t="n">
        <v>0.006</v>
      </c>
      <c r="F127" s="4" t="n">
        <v>0</v>
      </c>
      <c r="G127" s="4" t="n">
        <f aca="false">IF(E127&gt;0.5,1,0)</f>
        <v>0</v>
      </c>
      <c r="H127" s="4" t="str">
        <f aca="false">IF(G127=F127,"match","mismatch")</f>
        <v>match</v>
      </c>
    </row>
    <row r="128" customFormat="false" ht="15" hidden="false" customHeight="false" outlineLevel="0" collapsed="false">
      <c r="A128" s="8" t="s">
        <v>22</v>
      </c>
      <c r="B128" s="4" t="s">
        <v>23</v>
      </c>
      <c r="C128" s="4" t="n">
        <v>126</v>
      </c>
      <c r="D128" s="4" t="s">
        <v>24</v>
      </c>
      <c r="E128" s="9" t="n">
        <v>0.005</v>
      </c>
      <c r="F128" s="4" t="n">
        <v>0</v>
      </c>
      <c r="G128" s="4" t="n">
        <f aca="false">IF(E128&gt;0.5,1,0)</f>
        <v>0</v>
      </c>
      <c r="H128" s="4" t="str">
        <f aca="false">IF(G128=F128,"match","mismatch")</f>
        <v>match</v>
      </c>
    </row>
    <row r="129" customFormat="false" ht="15" hidden="false" customHeight="false" outlineLevel="0" collapsed="false">
      <c r="A129" s="8" t="s">
        <v>22</v>
      </c>
      <c r="B129" s="4" t="s">
        <v>23</v>
      </c>
      <c r="C129" s="4" t="n">
        <v>127</v>
      </c>
      <c r="D129" s="4" t="s">
        <v>40</v>
      </c>
      <c r="E129" s="9" t="n">
        <v>0.004</v>
      </c>
      <c r="F129" s="4" t="n">
        <v>0</v>
      </c>
      <c r="G129" s="4" t="n">
        <f aca="false">IF(E129&gt;0.5,1,0)</f>
        <v>0</v>
      </c>
      <c r="H129" s="4" t="str">
        <f aca="false">IF(G129=F129,"match","mismatch")</f>
        <v>match</v>
      </c>
    </row>
    <row r="130" customFormat="false" ht="15" hidden="false" customHeight="false" outlineLevel="0" collapsed="false">
      <c r="A130" s="8" t="s">
        <v>22</v>
      </c>
      <c r="B130" s="4" t="s">
        <v>23</v>
      </c>
      <c r="C130" s="4" t="n">
        <v>128</v>
      </c>
      <c r="D130" s="4" t="s">
        <v>27</v>
      </c>
      <c r="E130" s="9" t="n">
        <v>0.002</v>
      </c>
      <c r="F130" s="4" t="n">
        <v>0</v>
      </c>
      <c r="G130" s="4" t="n">
        <f aca="false">IF(E130&gt;0.5,1,0)</f>
        <v>0</v>
      </c>
      <c r="H130" s="4" t="str">
        <f aca="false">IF(G130=F130,"match","mismatch")</f>
        <v>match</v>
      </c>
    </row>
    <row r="131" customFormat="false" ht="15" hidden="false" customHeight="false" outlineLevel="0" collapsed="false">
      <c r="A131" s="8" t="s">
        <v>22</v>
      </c>
      <c r="B131" s="4" t="s">
        <v>23</v>
      </c>
      <c r="C131" s="4" t="n">
        <v>129</v>
      </c>
      <c r="D131" s="4" t="s">
        <v>29</v>
      </c>
      <c r="E131" s="9" t="n">
        <v>0.001</v>
      </c>
      <c r="F131" s="4" t="n">
        <v>0</v>
      </c>
      <c r="G131" s="4" t="n">
        <f aca="false">IF(E131&gt;0.5,1,0)</f>
        <v>0</v>
      </c>
      <c r="H131" s="4" t="str">
        <f aca="false">IF(G131=F131,"match","mismatch")</f>
        <v>match</v>
      </c>
    </row>
    <row r="132" customFormat="false" ht="15" hidden="false" customHeight="false" outlineLevel="0" collapsed="false">
      <c r="A132" s="8" t="s">
        <v>22</v>
      </c>
      <c r="B132" s="4" t="s">
        <v>23</v>
      </c>
      <c r="C132" s="4" t="n">
        <v>130</v>
      </c>
      <c r="D132" s="4" t="s">
        <v>30</v>
      </c>
      <c r="E132" s="9" t="n">
        <v>0.002</v>
      </c>
      <c r="F132" s="4" t="n">
        <v>0</v>
      </c>
      <c r="G132" s="4" t="n">
        <f aca="false">IF(E132&gt;0.5,1,0)</f>
        <v>0</v>
      </c>
      <c r="H132" s="4" t="str">
        <f aca="false">IF(G132=F132,"match","mismatch")</f>
        <v>match</v>
      </c>
    </row>
    <row r="133" customFormat="false" ht="15" hidden="false" customHeight="false" outlineLevel="0" collapsed="false">
      <c r="A133" s="8" t="s">
        <v>22</v>
      </c>
      <c r="B133" s="4" t="s">
        <v>23</v>
      </c>
      <c r="C133" s="4" t="n">
        <v>131</v>
      </c>
      <c r="D133" s="4" t="s">
        <v>40</v>
      </c>
      <c r="E133" s="9" t="n">
        <v>0.002</v>
      </c>
      <c r="F133" s="4" t="n">
        <v>0</v>
      </c>
      <c r="G133" s="4" t="n">
        <f aca="false">IF(E133&gt;0.5,1,0)</f>
        <v>0</v>
      </c>
      <c r="H133" s="4" t="str">
        <f aca="false">IF(G133=F133,"match","mismatch")</f>
        <v>match</v>
      </c>
    </row>
    <row r="134" customFormat="false" ht="15" hidden="false" customHeight="false" outlineLevel="0" collapsed="false">
      <c r="A134" s="8" t="s">
        <v>22</v>
      </c>
      <c r="B134" s="4" t="s">
        <v>23</v>
      </c>
      <c r="C134" s="4" t="n">
        <v>132</v>
      </c>
      <c r="D134" s="4" t="s">
        <v>30</v>
      </c>
      <c r="E134" s="9" t="n">
        <v>0.005</v>
      </c>
      <c r="F134" s="4" t="n">
        <v>0</v>
      </c>
      <c r="G134" s="4" t="n">
        <f aca="false">IF(E134&gt;0.5,1,0)</f>
        <v>0</v>
      </c>
      <c r="H134" s="4" t="str">
        <f aca="false">IF(G134=F134,"match","mismatch")</f>
        <v>match</v>
      </c>
    </row>
    <row r="135" customFormat="false" ht="15" hidden="false" customHeight="false" outlineLevel="0" collapsed="false">
      <c r="A135" s="8" t="s">
        <v>22</v>
      </c>
      <c r="B135" s="4" t="s">
        <v>23</v>
      </c>
      <c r="C135" s="4" t="n">
        <v>133</v>
      </c>
      <c r="D135" s="4" t="s">
        <v>26</v>
      </c>
      <c r="E135" s="9" t="n">
        <v>0.004</v>
      </c>
      <c r="F135" s="4" t="n">
        <v>0</v>
      </c>
      <c r="G135" s="4" t="n">
        <f aca="false">IF(E135&gt;0.5,1,0)</f>
        <v>0</v>
      </c>
      <c r="H135" s="4" t="str">
        <f aca="false">IF(G135=F135,"match","mismatch")</f>
        <v>match</v>
      </c>
    </row>
    <row r="136" customFormat="false" ht="15" hidden="false" customHeight="false" outlineLevel="0" collapsed="false">
      <c r="A136" s="8" t="s">
        <v>22</v>
      </c>
      <c r="B136" s="4" t="s">
        <v>23</v>
      </c>
      <c r="C136" s="4" t="n">
        <v>134</v>
      </c>
      <c r="D136" s="4" t="s">
        <v>33</v>
      </c>
      <c r="E136" s="9" t="n">
        <v>0.002</v>
      </c>
      <c r="F136" s="4" t="n">
        <v>0</v>
      </c>
      <c r="G136" s="4" t="n">
        <f aca="false">IF(E136&gt;0.5,1,0)</f>
        <v>0</v>
      </c>
      <c r="H136" s="4" t="str">
        <f aca="false">IF(G136=F136,"match","mismatch")</f>
        <v>match</v>
      </c>
    </row>
    <row r="137" customFormat="false" ht="15" hidden="false" customHeight="false" outlineLevel="0" collapsed="false">
      <c r="A137" s="8" t="s">
        <v>22</v>
      </c>
      <c r="B137" s="4" t="s">
        <v>23</v>
      </c>
      <c r="C137" s="4" t="n">
        <v>135</v>
      </c>
      <c r="D137" s="4" t="s">
        <v>23</v>
      </c>
      <c r="E137" s="9" t="n">
        <v>0.003</v>
      </c>
      <c r="F137" s="4" t="n">
        <v>0</v>
      </c>
      <c r="G137" s="4" t="n">
        <f aca="false">IF(E137&gt;0.5,1,0)</f>
        <v>0</v>
      </c>
      <c r="H137" s="4" t="str">
        <f aca="false">IF(G137=F137,"match","mismatch")</f>
        <v>match</v>
      </c>
    </row>
    <row r="138" customFormat="false" ht="15" hidden="false" customHeight="false" outlineLevel="0" collapsed="false">
      <c r="A138" s="8" t="s">
        <v>22</v>
      </c>
      <c r="B138" s="4" t="s">
        <v>23</v>
      </c>
      <c r="C138" s="4" t="n">
        <v>136</v>
      </c>
      <c r="D138" s="4" t="s">
        <v>36</v>
      </c>
      <c r="E138" s="9" t="n">
        <v>0.003</v>
      </c>
      <c r="F138" s="4" t="n">
        <v>0</v>
      </c>
      <c r="G138" s="4" t="n">
        <f aca="false">IF(E138&gt;0.5,1,0)</f>
        <v>0</v>
      </c>
      <c r="H138" s="4" t="str">
        <f aca="false">IF(G138=F138,"match","mismatch")</f>
        <v>match</v>
      </c>
    </row>
    <row r="139" customFormat="false" ht="15" hidden="false" customHeight="false" outlineLevel="0" collapsed="false">
      <c r="A139" s="8" t="s">
        <v>22</v>
      </c>
      <c r="B139" s="4" t="s">
        <v>23</v>
      </c>
      <c r="C139" s="4" t="n">
        <v>137</v>
      </c>
      <c r="D139" s="4" t="s">
        <v>30</v>
      </c>
      <c r="E139" s="9" t="n">
        <v>0.001</v>
      </c>
      <c r="F139" s="4" t="n">
        <v>0</v>
      </c>
      <c r="G139" s="4" t="n">
        <f aca="false">IF(E139&gt;0.5,1,0)</f>
        <v>0</v>
      </c>
      <c r="H139" s="4" t="str">
        <f aca="false">IF(G139=F139,"match","mismatch")</f>
        <v>match</v>
      </c>
    </row>
    <row r="140" customFormat="false" ht="15" hidden="false" customHeight="false" outlineLevel="0" collapsed="false">
      <c r="A140" s="8" t="s">
        <v>22</v>
      </c>
      <c r="B140" s="4" t="s">
        <v>23</v>
      </c>
      <c r="C140" s="4" t="n">
        <v>138</v>
      </c>
      <c r="D140" s="4" t="s">
        <v>42</v>
      </c>
      <c r="E140" s="9" t="n">
        <v>0.001</v>
      </c>
      <c r="F140" s="4" t="n">
        <v>0</v>
      </c>
      <c r="G140" s="4" t="n">
        <f aca="false">IF(E140&gt;0.5,1,0)</f>
        <v>0</v>
      </c>
      <c r="H140" s="4" t="str">
        <f aca="false">IF(G140=F140,"match","mismatch")</f>
        <v>match</v>
      </c>
    </row>
    <row r="141" customFormat="false" ht="15" hidden="false" customHeight="false" outlineLevel="0" collapsed="false">
      <c r="A141" s="8" t="s">
        <v>22</v>
      </c>
      <c r="B141" s="4" t="s">
        <v>23</v>
      </c>
      <c r="C141" s="4" t="n">
        <v>139</v>
      </c>
      <c r="D141" s="4" t="s">
        <v>46</v>
      </c>
      <c r="E141" s="9" t="n">
        <v>0.003</v>
      </c>
      <c r="F141" s="4" t="n">
        <v>0</v>
      </c>
      <c r="G141" s="4" t="n">
        <f aca="false">IF(E141&gt;0.5,1,0)</f>
        <v>0</v>
      </c>
      <c r="H141" s="4" t="str">
        <f aca="false">IF(G141=F141,"match","mismatch")</f>
        <v>match</v>
      </c>
    </row>
    <row r="142" customFormat="false" ht="15" hidden="false" customHeight="false" outlineLevel="0" collapsed="false">
      <c r="A142" s="8" t="s">
        <v>22</v>
      </c>
      <c r="B142" s="4" t="s">
        <v>23</v>
      </c>
      <c r="C142" s="4" t="n">
        <v>140</v>
      </c>
      <c r="D142" s="4" t="s">
        <v>26</v>
      </c>
      <c r="E142" s="9" t="n">
        <v>0.002</v>
      </c>
      <c r="F142" s="4" t="n">
        <v>0</v>
      </c>
      <c r="G142" s="4" t="n">
        <f aca="false">IF(E142&gt;0.5,1,0)</f>
        <v>0</v>
      </c>
      <c r="H142" s="4" t="str">
        <f aca="false">IF(G142=F142,"match","mismatch")</f>
        <v>match</v>
      </c>
    </row>
    <row r="143" customFormat="false" ht="15" hidden="false" customHeight="false" outlineLevel="0" collapsed="false">
      <c r="A143" s="8" t="s">
        <v>22</v>
      </c>
      <c r="B143" s="4" t="s">
        <v>23</v>
      </c>
      <c r="C143" s="4" t="n">
        <v>141</v>
      </c>
      <c r="D143" s="4" t="s">
        <v>46</v>
      </c>
      <c r="E143" s="9" t="n">
        <v>0.002</v>
      </c>
      <c r="F143" s="4" t="n">
        <v>0</v>
      </c>
      <c r="G143" s="4" t="n">
        <f aca="false">IF(E143&gt;0.5,1,0)</f>
        <v>0</v>
      </c>
      <c r="H143" s="4" t="str">
        <f aca="false">IF(G143=F143,"match","mismatch")</f>
        <v>match</v>
      </c>
    </row>
    <row r="144" customFormat="false" ht="15" hidden="false" customHeight="false" outlineLevel="0" collapsed="false">
      <c r="A144" s="8" t="s">
        <v>22</v>
      </c>
      <c r="B144" s="4" t="s">
        <v>23</v>
      </c>
      <c r="C144" s="4" t="n">
        <v>142</v>
      </c>
      <c r="D144" s="4" t="s">
        <v>23</v>
      </c>
      <c r="E144" s="9" t="n">
        <v>0.003</v>
      </c>
      <c r="F144" s="4" t="n">
        <v>0</v>
      </c>
      <c r="G144" s="4" t="n">
        <f aca="false">IF(E144&gt;0.5,1,0)</f>
        <v>0</v>
      </c>
      <c r="H144" s="4" t="str">
        <f aca="false">IF(G144=F144,"match","mismatch")</f>
        <v>match</v>
      </c>
    </row>
    <row r="145" customFormat="false" ht="15" hidden="false" customHeight="false" outlineLevel="0" collapsed="false">
      <c r="A145" s="8" t="s">
        <v>22</v>
      </c>
      <c r="B145" s="4" t="s">
        <v>23</v>
      </c>
      <c r="C145" s="4" t="n">
        <v>143</v>
      </c>
      <c r="D145" s="4" t="s">
        <v>28</v>
      </c>
      <c r="E145" s="9" t="n">
        <v>0.002</v>
      </c>
      <c r="F145" s="4" t="n">
        <v>0</v>
      </c>
      <c r="G145" s="4" t="n">
        <f aca="false">IF(E145&gt;0.5,1,0)</f>
        <v>0</v>
      </c>
      <c r="H145" s="4" t="str">
        <f aca="false">IF(G145=F145,"match","mismatch")</f>
        <v>match</v>
      </c>
    </row>
    <row r="146" customFormat="false" ht="15" hidden="false" customHeight="false" outlineLevel="0" collapsed="false">
      <c r="A146" s="8" t="s">
        <v>22</v>
      </c>
      <c r="B146" s="4" t="s">
        <v>23</v>
      </c>
      <c r="C146" s="4" t="n">
        <v>144</v>
      </c>
      <c r="D146" s="4" t="s">
        <v>33</v>
      </c>
      <c r="E146" s="9" t="n">
        <v>0.001</v>
      </c>
      <c r="F146" s="4" t="n">
        <v>0</v>
      </c>
      <c r="G146" s="4" t="n">
        <f aca="false">IF(E146&gt;0.5,1,0)</f>
        <v>0</v>
      </c>
      <c r="H146" s="4" t="str">
        <f aca="false">IF(G146=F146,"match","mismatch")</f>
        <v>match</v>
      </c>
    </row>
    <row r="147" customFormat="false" ht="15" hidden="false" customHeight="false" outlineLevel="0" collapsed="false">
      <c r="A147" s="8" t="s">
        <v>22</v>
      </c>
      <c r="B147" s="4" t="s">
        <v>23</v>
      </c>
      <c r="C147" s="4" t="n">
        <v>145</v>
      </c>
      <c r="D147" s="4" t="s">
        <v>29</v>
      </c>
      <c r="E147" s="9" t="n">
        <v>0.001</v>
      </c>
      <c r="F147" s="4" t="n">
        <v>0</v>
      </c>
      <c r="G147" s="4" t="n">
        <f aca="false">IF(E147&gt;0.5,1,0)</f>
        <v>0</v>
      </c>
      <c r="H147" s="4" t="str">
        <f aca="false">IF(G147=F147,"match","mismatch")</f>
        <v>match</v>
      </c>
    </row>
    <row r="148" customFormat="false" ht="15" hidden="false" customHeight="false" outlineLevel="0" collapsed="false">
      <c r="A148" s="8" t="s">
        <v>22</v>
      </c>
      <c r="B148" s="4" t="s">
        <v>23</v>
      </c>
      <c r="C148" s="4" t="n">
        <v>146</v>
      </c>
      <c r="D148" s="4" t="s">
        <v>37</v>
      </c>
      <c r="E148" s="9" t="n">
        <v>0.001</v>
      </c>
      <c r="F148" s="4" t="n">
        <v>0</v>
      </c>
      <c r="G148" s="4" t="n">
        <f aca="false">IF(E148&gt;0.5,1,0)</f>
        <v>0</v>
      </c>
      <c r="H148" s="4" t="str">
        <f aca="false">IF(G148=F148,"match","mismatch")</f>
        <v>match</v>
      </c>
    </row>
    <row r="149" customFormat="false" ht="15" hidden="false" customHeight="false" outlineLevel="0" collapsed="false">
      <c r="A149" s="8" t="s">
        <v>22</v>
      </c>
      <c r="B149" s="4" t="s">
        <v>23</v>
      </c>
      <c r="C149" s="4" t="n">
        <v>147</v>
      </c>
      <c r="D149" s="4" t="s">
        <v>37</v>
      </c>
      <c r="E149" s="9" t="n">
        <v>0.001</v>
      </c>
      <c r="F149" s="4" t="n">
        <v>0</v>
      </c>
      <c r="G149" s="4" t="n">
        <f aca="false">IF(E149&gt;0.5,1,0)</f>
        <v>0</v>
      </c>
      <c r="H149" s="4" t="str">
        <f aca="false">IF(G149=F149,"match","mismatch")</f>
        <v>match</v>
      </c>
    </row>
    <row r="150" customFormat="false" ht="15" hidden="false" customHeight="false" outlineLevel="0" collapsed="false">
      <c r="A150" s="8" t="s">
        <v>22</v>
      </c>
      <c r="B150" s="4" t="s">
        <v>23</v>
      </c>
      <c r="C150" s="4" t="n">
        <v>148</v>
      </c>
      <c r="D150" s="4" t="s">
        <v>23</v>
      </c>
      <c r="E150" s="9" t="n">
        <v>0.001</v>
      </c>
      <c r="F150" s="4" t="n">
        <v>0</v>
      </c>
      <c r="G150" s="4" t="n">
        <f aca="false">IF(E150&gt;0.5,1,0)</f>
        <v>0</v>
      </c>
      <c r="H150" s="4" t="str">
        <f aca="false">IF(G150=F150,"match","mismatch")</f>
        <v>match</v>
      </c>
    </row>
    <row r="151" customFormat="false" ht="15" hidden="false" customHeight="false" outlineLevel="0" collapsed="false">
      <c r="A151" s="8" t="s">
        <v>22</v>
      </c>
      <c r="B151" s="4" t="s">
        <v>23</v>
      </c>
      <c r="C151" s="4" t="n">
        <v>149</v>
      </c>
      <c r="D151" s="4" t="s">
        <v>27</v>
      </c>
      <c r="E151" s="9" t="n">
        <v>0.001</v>
      </c>
      <c r="F151" s="4" t="n">
        <v>0</v>
      </c>
      <c r="G151" s="4" t="n">
        <f aca="false">IF(E151&gt;0.5,1,0)</f>
        <v>0</v>
      </c>
      <c r="H151" s="4" t="str">
        <f aca="false">IF(G151=F151,"match","mismatch")</f>
        <v>match</v>
      </c>
    </row>
    <row r="152" customFormat="false" ht="15" hidden="false" customHeight="false" outlineLevel="0" collapsed="false">
      <c r="A152" s="8" t="s">
        <v>22</v>
      </c>
      <c r="B152" s="4" t="s">
        <v>23</v>
      </c>
      <c r="C152" s="4" t="n">
        <v>150</v>
      </c>
      <c r="D152" s="4" t="s">
        <v>37</v>
      </c>
      <c r="E152" s="9" t="n">
        <v>0.002</v>
      </c>
      <c r="F152" s="4" t="n">
        <v>0</v>
      </c>
      <c r="G152" s="4" t="n">
        <f aca="false">IF(E152&gt;0.5,1,0)</f>
        <v>0</v>
      </c>
      <c r="H152" s="4" t="str">
        <f aca="false">IF(G152=F152,"match","mismatch")</f>
        <v>match</v>
      </c>
    </row>
    <row r="153" customFormat="false" ht="15" hidden="false" customHeight="false" outlineLevel="0" collapsed="false">
      <c r="A153" s="8" t="s">
        <v>22</v>
      </c>
      <c r="B153" s="4" t="s">
        <v>23</v>
      </c>
      <c r="C153" s="4" t="n">
        <v>151</v>
      </c>
      <c r="D153" s="4" t="s">
        <v>27</v>
      </c>
      <c r="E153" s="9" t="n">
        <v>0.003</v>
      </c>
      <c r="F153" s="4" t="n">
        <v>0</v>
      </c>
      <c r="G153" s="4" t="n">
        <f aca="false">IF(E153&gt;0.5,1,0)</f>
        <v>0</v>
      </c>
      <c r="H153" s="4" t="str">
        <f aca="false">IF(G153=F153,"match","mismatch")</f>
        <v>match</v>
      </c>
    </row>
    <row r="154" customFormat="false" ht="15" hidden="false" customHeight="false" outlineLevel="0" collapsed="false">
      <c r="A154" s="8" t="s">
        <v>22</v>
      </c>
      <c r="B154" s="4" t="s">
        <v>23</v>
      </c>
      <c r="C154" s="4" t="n">
        <v>152</v>
      </c>
      <c r="D154" s="4" t="s">
        <v>32</v>
      </c>
      <c r="E154" s="9" t="n">
        <v>0.002</v>
      </c>
      <c r="F154" s="4" t="n">
        <v>0</v>
      </c>
      <c r="G154" s="4" t="n">
        <f aca="false">IF(E154&gt;0.5,1,0)</f>
        <v>0</v>
      </c>
      <c r="H154" s="4" t="str">
        <f aca="false">IF(G154=F154,"match","mismatch")</f>
        <v>match</v>
      </c>
    </row>
    <row r="155" customFormat="false" ht="15" hidden="false" customHeight="false" outlineLevel="0" collapsed="false">
      <c r="A155" s="8" t="s">
        <v>22</v>
      </c>
      <c r="B155" s="4" t="s">
        <v>23</v>
      </c>
      <c r="C155" s="4" t="n">
        <v>153</v>
      </c>
      <c r="D155" s="4" t="s">
        <v>26</v>
      </c>
      <c r="E155" s="9" t="n">
        <v>0.003</v>
      </c>
      <c r="F155" s="4" t="n">
        <v>0</v>
      </c>
      <c r="G155" s="4" t="n">
        <f aca="false">IF(E155&gt;0.5,1,0)</f>
        <v>0</v>
      </c>
      <c r="H155" s="4" t="str">
        <f aca="false">IF(G155=F155,"match","mismatch")</f>
        <v>match</v>
      </c>
    </row>
    <row r="156" customFormat="false" ht="15" hidden="false" customHeight="false" outlineLevel="0" collapsed="false">
      <c r="A156" s="8" t="s">
        <v>22</v>
      </c>
      <c r="B156" s="4" t="s">
        <v>23</v>
      </c>
      <c r="C156" s="4" t="n">
        <v>154</v>
      </c>
      <c r="D156" s="4" t="s">
        <v>24</v>
      </c>
      <c r="E156" s="9" t="n">
        <v>0.002</v>
      </c>
      <c r="F156" s="4" t="n">
        <v>0</v>
      </c>
      <c r="G156" s="4" t="n">
        <f aca="false">IF(E156&gt;0.5,1,0)</f>
        <v>0</v>
      </c>
      <c r="H156" s="4" t="str">
        <f aca="false">IF(G156=F156,"match","mismatch")</f>
        <v>match</v>
      </c>
    </row>
    <row r="157" customFormat="false" ht="15" hidden="false" customHeight="false" outlineLevel="0" collapsed="false">
      <c r="A157" s="8" t="s">
        <v>22</v>
      </c>
      <c r="B157" s="4" t="s">
        <v>23</v>
      </c>
      <c r="C157" s="4" t="n">
        <v>155</v>
      </c>
      <c r="D157" s="4" t="s">
        <v>26</v>
      </c>
      <c r="E157" s="9" t="n">
        <v>0.003</v>
      </c>
      <c r="F157" s="4" t="n">
        <v>0</v>
      </c>
      <c r="G157" s="4" t="n">
        <f aca="false">IF(E157&gt;0.5,1,0)</f>
        <v>0</v>
      </c>
      <c r="H157" s="4" t="str">
        <f aca="false">IF(G157=F157,"match","mismatch")</f>
        <v>match</v>
      </c>
    </row>
    <row r="158" customFormat="false" ht="15" hidden="false" customHeight="false" outlineLevel="0" collapsed="false">
      <c r="A158" s="8" t="s">
        <v>22</v>
      </c>
      <c r="B158" s="4" t="s">
        <v>23</v>
      </c>
      <c r="C158" s="4" t="n">
        <v>156</v>
      </c>
      <c r="D158" s="4" t="s">
        <v>29</v>
      </c>
      <c r="E158" s="9" t="n">
        <v>0.001</v>
      </c>
      <c r="F158" s="4" t="n">
        <v>0</v>
      </c>
      <c r="G158" s="4" t="n">
        <f aca="false">IF(E158&gt;0.5,1,0)</f>
        <v>0</v>
      </c>
      <c r="H158" s="4" t="str">
        <f aca="false">IF(G158=F158,"match","mismatch")</f>
        <v>match</v>
      </c>
    </row>
    <row r="159" customFormat="false" ht="15" hidden="false" customHeight="false" outlineLevel="0" collapsed="false">
      <c r="A159" s="8" t="s">
        <v>22</v>
      </c>
      <c r="B159" s="4" t="s">
        <v>23</v>
      </c>
      <c r="C159" s="4" t="n">
        <v>157</v>
      </c>
      <c r="D159" s="4" t="s">
        <v>32</v>
      </c>
      <c r="E159" s="9" t="n">
        <v>0.001</v>
      </c>
      <c r="F159" s="4" t="n">
        <v>0</v>
      </c>
      <c r="G159" s="4" t="n">
        <f aca="false">IF(E159&gt;0.5,1,0)</f>
        <v>0</v>
      </c>
      <c r="H159" s="4" t="str">
        <f aca="false">IF(G159=F159,"match","mismatch")</f>
        <v>match</v>
      </c>
    </row>
    <row r="160" customFormat="false" ht="15" hidden="false" customHeight="false" outlineLevel="0" collapsed="false">
      <c r="A160" s="8" t="s">
        <v>22</v>
      </c>
      <c r="B160" s="4" t="s">
        <v>23</v>
      </c>
      <c r="C160" s="4" t="n">
        <v>158</v>
      </c>
      <c r="D160" s="4" t="s">
        <v>28</v>
      </c>
      <c r="E160" s="9" t="n">
        <v>0.001</v>
      </c>
      <c r="F160" s="4" t="n">
        <v>0</v>
      </c>
      <c r="G160" s="4" t="n">
        <f aca="false">IF(E160&gt;0.5,1,0)</f>
        <v>0</v>
      </c>
      <c r="H160" s="4" t="str">
        <f aca="false">IF(G160=F160,"match","mismatch")</f>
        <v>match</v>
      </c>
    </row>
    <row r="161" customFormat="false" ht="15" hidden="false" customHeight="false" outlineLevel="0" collapsed="false">
      <c r="A161" s="8" t="s">
        <v>22</v>
      </c>
      <c r="B161" s="4" t="s">
        <v>23</v>
      </c>
      <c r="C161" s="4" t="n">
        <v>159</v>
      </c>
      <c r="D161" s="4" t="s">
        <v>31</v>
      </c>
      <c r="E161" s="9" t="n">
        <v>0.001</v>
      </c>
      <c r="F161" s="4" t="n">
        <v>0</v>
      </c>
      <c r="G161" s="4" t="n">
        <f aca="false">IF(E161&gt;0.5,1,0)</f>
        <v>0</v>
      </c>
      <c r="H161" s="4" t="str">
        <f aca="false">IF(G161=F161,"match","mismatch")</f>
        <v>match</v>
      </c>
    </row>
    <row r="162" customFormat="false" ht="15" hidden="false" customHeight="false" outlineLevel="0" collapsed="false">
      <c r="A162" s="8" t="s">
        <v>22</v>
      </c>
      <c r="B162" s="4" t="s">
        <v>23</v>
      </c>
      <c r="C162" s="4" t="n">
        <v>160</v>
      </c>
      <c r="D162" s="4" t="s">
        <v>25</v>
      </c>
      <c r="E162" s="9" t="n">
        <v>0</v>
      </c>
      <c r="F162" s="4" t="n">
        <v>0</v>
      </c>
      <c r="G162" s="4" t="n">
        <f aca="false">IF(E162&gt;0.5,1,0)</f>
        <v>0</v>
      </c>
      <c r="H162" s="4" t="str">
        <f aca="false">IF(G162=F162,"match","mismatch")</f>
        <v>match</v>
      </c>
    </row>
    <row r="163" customFormat="false" ht="15" hidden="false" customHeight="false" outlineLevel="0" collapsed="false">
      <c r="A163" s="8" t="s">
        <v>22</v>
      </c>
      <c r="B163" s="4" t="s">
        <v>23</v>
      </c>
      <c r="C163" s="4" t="n">
        <v>161</v>
      </c>
      <c r="D163" s="4" t="s">
        <v>33</v>
      </c>
      <c r="E163" s="9" t="n">
        <v>0.001</v>
      </c>
      <c r="F163" s="4" t="n">
        <v>0</v>
      </c>
      <c r="G163" s="4" t="n">
        <f aca="false">IF(E163&gt;0.5,1,0)</f>
        <v>0</v>
      </c>
      <c r="H163" s="4" t="str">
        <f aca="false">IF(G163=F163,"match","mismatch")</f>
        <v>match</v>
      </c>
    </row>
    <row r="164" customFormat="false" ht="15" hidden="false" customHeight="false" outlineLevel="0" collapsed="false">
      <c r="A164" s="8" t="s">
        <v>22</v>
      </c>
      <c r="B164" s="4" t="s">
        <v>23</v>
      </c>
      <c r="C164" s="4" t="n">
        <v>162</v>
      </c>
      <c r="D164" s="4" t="s">
        <v>24</v>
      </c>
      <c r="E164" s="9" t="n">
        <v>0.001</v>
      </c>
      <c r="F164" s="4" t="n">
        <v>0</v>
      </c>
      <c r="G164" s="4" t="n">
        <f aca="false">IF(E164&gt;0.5,1,0)</f>
        <v>0</v>
      </c>
      <c r="H164" s="4" t="str">
        <f aca="false">IF(G164=F164,"match","mismatch")</f>
        <v>match</v>
      </c>
    </row>
    <row r="165" customFormat="false" ht="15" hidden="false" customHeight="false" outlineLevel="0" collapsed="false">
      <c r="A165" s="8" t="s">
        <v>22</v>
      </c>
      <c r="B165" s="4" t="s">
        <v>23</v>
      </c>
      <c r="C165" s="4" t="n">
        <v>163</v>
      </c>
      <c r="D165" s="4" t="s">
        <v>36</v>
      </c>
      <c r="E165" s="9" t="n">
        <v>0.001</v>
      </c>
      <c r="F165" s="4" t="n">
        <v>0</v>
      </c>
      <c r="G165" s="4" t="n">
        <f aca="false">IF(E165&gt;0.5,1,0)</f>
        <v>0</v>
      </c>
      <c r="H165" s="4" t="str">
        <f aca="false">IF(G165=F165,"match","mismatch")</f>
        <v>match</v>
      </c>
    </row>
    <row r="166" customFormat="false" ht="15" hidden="false" customHeight="false" outlineLevel="0" collapsed="false">
      <c r="A166" s="8" t="s">
        <v>22</v>
      </c>
      <c r="B166" s="4" t="s">
        <v>23</v>
      </c>
      <c r="C166" s="4" t="n">
        <v>164</v>
      </c>
      <c r="D166" s="4" t="s">
        <v>30</v>
      </c>
      <c r="E166" s="9" t="n">
        <v>0.001</v>
      </c>
      <c r="F166" s="4" t="n">
        <v>0</v>
      </c>
      <c r="G166" s="4" t="n">
        <f aca="false">IF(E166&gt;0.5,1,0)</f>
        <v>0</v>
      </c>
      <c r="H166" s="4" t="str">
        <f aca="false">IF(G166=F166,"match","mismatch")</f>
        <v>match</v>
      </c>
    </row>
    <row r="167" customFormat="false" ht="15" hidden="false" customHeight="false" outlineLevel="0" collapsed="false">
      <c r="A167" s="8" t="s">
        <v>22</v>
      </c>
      <c r="B167" s="4" t="s">
        <v>23</v>
      </c>
      <c r="C167" s="4" t="n">
        <v>165</v>
      </c>
      <c r="D167" s="4" t="s">
        <v>32</v>
      </c>
      <c r="E167" s="9" t="n">
        <v>0.001</v>
      </c>
      <c r="F167" s="4" t="n">
        <v>0</v>
      </c>
      <c r="G167" s="4" t="n">
        <f aca="false">IF(E167&gt;0.5,1,0)</f>
        <v>0</v>
      </c>
      <c r="H167" s="4" t="str">
        <f aca="false">IF(G167=F167,"match","mismatch")</f>
        <v>match</v>
      </c>
    </row>
    <row r="168" customFormat="false" ht="15" hidden="false" customHeight="false" outlineLevel="0" collapsed="false">
      <c r="A168" s="8" t="s">
        <v>22</v>
      </c>
      <c r="B168" s="4" t="s">
        <v>23</v>
      </c>
      <c r="C168" s="4" t="n">
        <v>166</v>
      </c>
      <c r="D168" s="4" t="s">
        <v>26</v>
      </c>
      <c r="E168" s="9" t="n">
        <v>0.001</v>
      </c>
      <c r="F168" s="4" t="n">
        <v>0</v>
      </c>
      <c r="G168" s="4" t="n">
        <f aca="false">IF(E168&gt;0.5,1,0)</f>
        <v>0</v>
      </c>
      <c r="H168" s="4" t="str">
        <f aca="false">IF(G168=F168,"match","mismatch")</f>
        <v>match</v>
      </c>
    </row>
    <row r="169" customFormat="false" ht="15" hidden="false" customHeight="false" outlineLevel="0" collapsed="false">
      <c r="A169" s="8" t="s">
        <v>22</v>
      </c>
      <c r="B169" s="4" t="s">
        <v>23</v>
      </c>
      <c r="C169" s="4" t="n">
        <v>167</v>
      </c>
      <c r="D169" s="4" t="s">
        <v>36</v>
      </c>
      <c r="E169" s="9" t="n">
        <v>0.001</v>
      </c>
      <c r="F169" s="4" t="n">
        <v>0</v>
      </c>
      <c r="G169" s="4" t="n">
        <f aca="false">IF(E169&gt;0.5,1,0)</f>
        <v>0</v>
      </c>
      <c r="H169" s="4" t="str">
        <f aca="false">IF(G169=F169,"match","mismatch")</f>
        <v>match</v>
      </c>
    </row>
    <row r="170" customFormat="false" ht="15" hidden="false" customHeight="false" outlineLevel="0" collapsed="false">
      <c r="A170" s="8" t="s">
        <v>38</v>
      </c>
      <c r="B170" s="4" t="s">
        <v>39</v>
      </c>
      <c r="C170" s="4" t="n">
        <v>178</v>
      </c>
      <c r="D170" s="4" t="s">
        <v>44</v>
      </c>
      <c r="E170" s="9" t="n">
        <v>0.025</v>
      </c>
      <c r="F170" s="4" t="n">
        <v>0</v>
      </c>
      <c r="G170" s="4" t="n">
        <f aca="false">IF(E170&gt;0.5,1,0)</f>
        <v>0</v>
      </c>
      <c r="H170" s="4" t="str">
        <f aca="false">IF(G170=F170,"match","mismatch")</f>
        <v>match</v>
      </c>
    </row>
    <row r="171" customFormat="false" ht="15" hidden="false" customHeight="false" outlineLevel="0" collapsed="false">
      <c r="A171" s="8" t="s">
        <v>38</v>
      </c>
      <c r="B171" s="4" t="s">
        <v>39</v>
      </c>
      <c r="C171" s="4" t="n">
        <v>179</v>
      </c>
      <c r="D171" s="4" t="s">
        <v>27</v>
      </c>
      <c r="E171" s="9" t="n">
        <v>0.023</v>
      </c>
      <c r="F171" s="4" t="n">
        <v>0</v>
      </c>
      <c r="G171" s="4" t="n">
        <f aca="false">IF(E171&gt;0.5,1,0)</f>
        <v>0</v>
      </c>
      <c r="H171" s="4" t="str">
        <f aca="false">IF(G171=F171,"match","mismatch")</f>
        <v>match</v>
      </c>
    </row>
    <row r="172" customFormat="false" ht="15" hidden="false" customHeight="false" outlineLevel="0" collapsed="false">
      <c r="A172" s="8" t="s">
        <v>38</v>
      </c>
      <c r="B172" s="4" t="s">
        <v>39</v>
      </c>
      <c r="C172" s="4" t="n">
        <v>180</v>
      </c>
      <c r="D172" s="4" t="s">
        <v>27</v>
      </c>
      <c r="E172" s="9" t="n">
        <v>0.07</v>
      </c>
      <c r="F172" s="4" t="n">
        <v>0</v>
      </c>
      <c r="G172" s="4" t="n">
        <f aca="false">IF(E172&gt;0.5,1,0)</f>
        <v>0</v>
      </c>
      <c r="H172" s="4" t="str">
        <f aca="false">IF(G172=F172,"match","mismatch")</f>
        <v>match</v>
      </c>
    </row>
    <row r="173" customFormat="false" ht="15" hidden="false" customHeight="false" outlineLevel="0" collapsed="false">
      <c r="A173" s="8" t="s">
        <v>38</v>
      </c>
      <c r="B173" s="4" t="s">
        <v>39</v>
      </c>
      <c r="C173" s="4" t="n">
        <v>181</v>
      </c>
      <c r="D173" s="4" t="s">
        <v>33</v>
      </c>
      <c r="E173" s="9" t="n">
        <v>0.017</v>
      </c>
      <c r="F173" s="4" t="n">
        <v>0</v>
      </c>
      <c r="G173" s="4" t="n">
        <f aca="false">IF(E173&gt;0.5,1,0)</f>
        <v>0</v>
      </c>
      <c r="H173" s="4" t="str">
        <f aca="false">IF(G173=F173,"match","mismatch")</f>
        <v>match</v>
      </c>
    </row>
    <row r="174" customFormat="false" ht="15" hidden="false" customHeight="false" outlineLevel="0" collapsed="false">
      <c r="A174" s="8" t="s">
        <v>38</v>
      </c>
      <c r="B174" s="4" t="s">
        <v>39</v>
      </c>
      <c r="C174" s="4" t="n">
        <v>182</v>
      </c>
      <c r="D174" s="4" t="s">
        <v>24</v>
      </c>
      <c r="E174" s="9" t="n">
        <v>0.807</v>
      </c>
      <c r="F174" s="4" t="n">
        <v>1</v>
      </c>
      <c r="G174" s="4" t="n">
        <f aca="false">IF(E174&gt;0.5,1,0)</f>
        <v>1</v>
      </c>
      <c r="H174" s="4" t="str">
        <f aca="false">IF(G174=F174,"match","mismatch")</f>
        <v>match</v>
      </c>
    </row>
    <row r="175" customFormat="false" ht="15" hidden="false" customHeight="false" outlineLevel="0" collapsed="false">
      <c r="A175" s="8" t="s">
        <v>38</v>
      </c>
      <c r="B175" s="4" t="s">
        <v>39</v>
      </c>
      <c r="C175" s="4" t="n">
        <v>183</v>
      </c>
      <c r="D175" s="4" t="s">
        <v>24</v>
      </c>
      <c r="E175" s="9" t="n">
        <v>0.015</v>
      </c>
      <c r="F175" s="4" t="n">
        <v>0</v>
      </c>
      <c r="G175" s="4" t="n">
        <f aca="false">IF(E175&gt;0.5,1,0)</f>
        <v>0</v>
      </c>
      <c r="H175" s="4" t="str">
        <f aca="false">IF(G175=F175,"match","mismatch")</f>
        <v>match</v>
      </c>
    </row>
    <row r="176" customFormat="false" ht="15" hidden="false" customHeight="false" outlineLevel="0" collapsed="false">
      <c r="A176" s="8" t="s">
        <v>38</v>
      </c>
      <c r="B176" s="4" t="s">
        <v>39</v>
      </c>
      <c r="C176" s="4" t="n">
        <v>184</v>
      </c>
      <c r="D176" s="4" t="s">
        <v>27</v>
      </c>
      <c r="E176" s="9" t="n">
        <v>0.752</v>
      </c>
      <c r="F176" s="4" t="n">
        <v>1</v>
      </c>
      <c r="G176" s="4" t="n">
        <f aca="false">IF(E176&gt;0.5,1,0)</f>
        <v>1</v>
      </c>
      <c r="H176" s="4" t="str">
        <f aca="false">IF(G176=F176,"match","mismatch")</f>
        <v>match</v>
      </c>
    </row>
    <row r="177" customFormat="false" ht="15" hidden="false" customHeight="false" outlineLevel="0" collapsed="false">
      <c r="A177" s="8" t="s">
        <v>38</v>
      </c>
      <c r="B177" s="4" t="s">
        <v>39</v>
      </c>
      <c r="C177" s="4" t="n">
        <v>185</v>
      </c>
      <c r="D177" s="4" t="s">
        <v>24</v>
      </c>
      <c r="E177" s="9" t="n">
        <v>0.01</v>
      </c>
      <c r="F177" s="4" t="n">
        <v>0</v>
      </c>
      <c r="G177" s="4" t="n">
        <f aca="false">IF(E177&gt;0.5,1,0)</f>
        <v>0</v>
      </c>
      <c r="H177" s="4" t="str">
        <f aca="false">IF(G177=F177,"match","mismatch")</f>
        <v>match</v>
      </c>
    </row>
    <row r="178" customFormat="false" ht="15" hidden="false" customHeight="false" outlineLevel="0" collapsed="false">
      <c r="A178" s="8" t="s">
        <v>38</v>
      </c>
      <c r="B178" s="4" t="s">
        <v>39</v>
      </c>
      <c r="C178" s="4" t="n">
        <v>186</v>
      </c>
      <c r="D178" s="4" t="s">
        <v>34</v>
      </c>
      <c r="E178" s="9" t="n">
        <v>0.034</v>
      </c>
      <c r="F178" s="4" t="n">
        <v>0</v>
      </c>
      <c r="G178" s="4" t="n">
        <f aca="false">IF(E178&gt;0.5,1,0)</f>
        <v>0</v>
      </c>
      <c r="H178" s="4" t="str">
        <f aca="false">IF(G178=F178,"match","mismatch")</f>
        <v>match</v>
      </c>
    </row>
    <row r="179" customFormat="false" ht="15" hidden="false" customHeight="false" outlineLevel="0" collapsed="false">
      <c r="A179" s="8" t="s">
        <v>38</v>
      </c>
      <c r="B179" s="4" t="s">
        <v>39</v>
      </c>
      <c r="C179" s="4" t="n">
        <v>187</v>
      </c>
      <c r="D179" s="4" t="s">
        <v>44</v>
      </c>
      <c r="E179" s="9" t="n">
        <v>0.088</v>
      </c>
      <c r="F179" s="4" t="n">
        <v>0</v>
      </c>
      <c r="G179" s="4" t="n">
        <f aca="false">IF(E179&gt;0.5,1,0)</f>
        <v>0</v>
      </c>
      <c r="H179" s="4" t="str">
        <f aca="false">IF(G179=F179,"match","mismatch")</f>
        <v>match</v>
      </c>
    </row>
    <row r="180" customFormat="false" ht="15" hidden="false" customHeight="false" outlineLevel="0" collapsed="false">
      <c r="A180" s="8" t="s">
        <v>38</v>
      </c>
      <c r="B180" s="4" t="s">
        <v>39</v>
      </c>
      <c r="C180" s="4" t="n">
        <v>188</v>
      </c>
      <c r="D180" s="4" t="s">
        <v>25</v>
      </c>
      <c r="E180" s="9" t="n">
        <v>0.076</v>
      </c>
      <c r="F180" s="4" t="n">
        <v>0</v>
      </c>
      <c r="G180" s="4" t="n">
        <f aca="false">IF(E180&gt;0.5,1,0)</f>
        <v>0</v>
      </c>
      <c r="H180" s="4" t="str">
        <f aca="false">IF(G180=F180,"match","mismatch")</f>
        <v>match</v>
      </c>
    </row>
    <row r="181" customFormat="false" ht="15" hidden="false" customHeight="false" outlineLevel="0" collapsed="false">
      <c r="A181" s="8" t="s">
        <v>38</v>
      </c>
      <c r="B181" s="4" t="s">
        <v>39</v>
      </c>
      <c r="C181" s="4" t="n">
        <v>189</v>
      </c>
      <c r="D181" s="4" t="s">
        <v>25</v>
      </c>
      <c r="E181" s="9" t="n">
        <v>0.967</v>
      </c>
      <c r="F181" s="4" t="n">
        <v>1</v>
      </c>
      <c r="G181" s="4" t="n">
        <f aca="false">IF(E181&gt;0.5,1,0)</f>
        <v>1</v>
      </c>
      <c r="H181" s="4" t="str">
        <f aca="false">IF(G181=F181,"match","mismatch")</f>
        <v>match</v>
      </c>
    </row>
    <row r="182" customFormat="false" ht="15" hidden="false" customHeight="false" outlineLevel="0" collapsed="false">
      <c r="A182" s="8" t="s">
        <v>38</v>
      </c>
      <c r="B182" s="4" t="s">
        <v>39</v>
      </c>
      <c r="C182" s="4" t="n">
        <v>190</v>
      </c>
      <c r="D182" s="4" t="s">
        <v>37</v>
      </c>
      <c r="E182" s="9" t="n">
        <v>0.955</v>
      </c>
      <c r="F182" s="4" t="n">
        <v>1</v>
      </c>
      <c r="G182" s="4" t="n">
        <f aca="false">IF(E182&gt;0.5,1,0)</f>
        <v>1</v>
      </c>
      <c r="H182" s="4" t="str">
        <f aca="false">IF(G182=F182,"match","mismatch")</f>
        <v>match</v>
      </c>
    </row>
    <row r="183" customFormat="false" ht="15" hidden="false" customHeight="false" outlineLevel="0" collapsed="false">
      <c r="A183" s="8" t="s">
        <v>38</v>
      </c>
      <c r="B183" s="4" t="s">
        <v>39</v>
      </c>
      <c r="C183" s="4" t="n">
        <v>191</v>
      </c>
      <c r="D183" s="4" t="s">
        <v>37</v>
      </c>
      <c r="E183" s="9" t="n">
        <v>0.991</v>
      </c>
      <c r="F183" s="4" t="n">
        <v>1</v>
      </c>
      <c r="G183" s="4" t="n">
        <f aca="false">IF(E183&gt;0.5,1,0)</f>
        <v>1</v>
      </c>
      <c r="H183" s="4" t="str">
        <f aca="false">IF(G183=F183,"match","mismatch")</f>
        <v>match</v>
      </c>
    </row>
    <row r="184" customFormat="false" ht="15" hidden="false" customHeight="false" outlineLevel="0" collapsed="false">
      <c r="A184" s="8" t="s">
        <v>38</v>
      </c>
      <c r="B184" s="4" t="s">
        <v>39</v>
      </c>
      <c r="C184" s="4" t="n">
        <v>192</v>
      </c>
      <c r="D184" s="4" t="s">
        <v>41</v>
      </c>
      <c r="E184" s="9" t="n">
        <v>0.957</v>
      </c>
      <c r="F184" s="4" t="n">
        <v>1</v>
      </c>
      <c r="G184" s="4" t="n">
        <f aca="false">IF(E184&gt;0.5,1,0)</f>
        <v>1</v>
      </c>
      <c r="H184" s="4" t="str">
        <f aca="false">IF(G184=F184,"match","mismatch")</f>
        <v>match</v>
      </c>
    </row>
    <row r="185" customFormat="false" ht="15" hidden="false" customHeight="false" outlineLevel="0" collapsed="false">
      <c r="A185" s="8" t="s">
        <v>38</v>
      </c>
      <c r="B185" s="4" t="s">
        <v>39</v>
      </c>
      <c r="C185" s="4" t="n">
        <v>193</v>
      </c>
      <c r="D185" s="4" t="s">
        <v>27</v>
      </c>
      <c r="E185" s="9" t="n">
        <v>0.958</v>
      </c>
      <c r="F185" s="4" t="n">
        <v>1</v>
      </c>
      <c r="G185" s="4" t="n">
        <f aca="false">IF(E185&gt;0.5,1,0)</f>
        <v>1</v>
      </c>
      <c r="H185" s="4" t="str">
        <f aca="false">IF(G185=F185,"match","mismatch")</f>
        <v>match</v>
      </c>
    </row>
    <row r="186" customFormat="false" ht="15" hidden="false" customHeight="false" outlineLevel="0" collapsed="false">
      <c r="A186" s="8" t="s">
        <v>38</v>
      </c>
      <c r="B186" s="4" t="s">
        <v>39</v>
      </c>
      <c r="C186" s="4" t="n">
        <v>194</v>
      </c>
      <c r="D186" s="4" t="s">
        <v>37</v>
      </c>
      <c r="E186" s="9" t="n">
        <v>0.981</v>
      </c>
      <c r="F186" s="4" t="n">
        <v>1</v>
      </c>
      <c r="G186" s="4" t="n">
        <f aca="false">IF(E186&gt;0.5,1,0)</f>
        <v>1</v>
      </c>
      <c r="H186" s="4" t="str">
        <f aca="false">IF(G186=F186,"match","mismatch")</f>
        <v>match</v>
      </c>
    </row>
    <row r="187" customFormat="false" ht="15" hidden="false" customHeight="false" outlineLevel="0" collapsed="false">
      <c r="A187" s="8" t="s">
        <v>38</v>
      </c>
      <c r="B187" s="4" t="s">
        <v>39</v>
      </c>
      <c r="C187" s="4" t="n">
        <v>195</v>
      </c>
      <c r="D187" s="4" t="s">
        <v>33</v>
      </c>
      <c r="E187" s="9" t="n">
        <v>0.239</v>
      </c>
      <c r="F187" s="4" t="n">
        <v>1</v>
      </c>
      <c r="G187" s="4" t="n">
        <f aca="false">IF(E187&gt;0.5,1,0)</f>
        <v>0</v>
      </c>
      <c r="H187" s="4" t="str">
        <f aca="false">IF(G187=F187,"match","mismatch")</f>
        <v>mismatch</v>
      </c>
    </row>
    <row r="188" customFormat="false" ht="15" hidden="false" customHeight="false" outlineLevel="0" collapsed="false">
      <c r="A188" s="8" t="s">
        <v>38</v>
      </c>
      <c r="B188" s="4" t="s">
        <v>39</v>
      </c>
      <c r="C188" s="4" t="n">
        <v>196</v>
      </c>
      <c r="D188" s="4" t="s">
        <v>44</v>
      </c>
      <c r="E188" s="9" t="n">
        <v>0.893</v>
      </c>
      <c r="F188" s="4" t="n">
        <v>1</v>
      </c>
      <c r="G188" s="4" t="n">
        <f aca="false">IF(E188&gt;0.5,1,0)</f>
        <v>1</v>
      </c>
      <c r="H188" s="4" t="str">
        <f aca="false">IF(G188=F188,"match","mismatch")</f>
        <v>match</v>
      </c>
    </row>
    <row r="189" customFormat="false" ht="15" hidden="false" customHeight="false" outlineLevel="0" collapsed="false">
      <c r="A189" s="8" t="s">
        <v>38</v>
      </c>
      <c r="B189" s="4" t="s">
        <v>39</v>
      </c>
      <c r="C189" s="4" t="n">
        <v>197</v>
      </c>
      <c r="D189" s="4" t="s">
        <v>24</v>
      </c>
      <c r="E189" s="9" t="n">
        <v>0.011</v>
      </c>
      <c r="F189" s="4" t="n">
        <v>0</v>
      </c>
      <c r="G189" s="4" t="n">
        <f aca="false">IF(E189&gt;0.5,1,0)</f>
        <v>0</v>
      </c>
      <c r="H189" s="4" t="str">
        <f aca="false">IF(G189=F189,"match","mismatch")</f>
        <v>match</v>
      </c>
    </row>
    <row r="190" customFormat="false" ht="15" hidden="false" customHeight="false" outlineLevel="0" collapsed="false">
      <c r="A190" s="8" t="s">
        <v>38</v>
      </c>
      <c r="B190" s="4" t="s">
        <v>39</v>
      </c>
      <c r="C190" s="4" t="n">
        <v>198</v>
      </c>
      <c r="D190" s="4" t="s">
        <v>25</v>
      </c>
      <c r="E190" s="9" t="n">
        <v>0.12</v>
      </c>
      <c r="F190" s="4" t="n">
        <v>0</v>
      </c>
      <c r="G190" s="4" t="n">
        <f aca="false">IF(E190&gt;0.5,1,0)</f>
        <v>0</v>
      </c>
      <c r="H190" s="4" t="str">
        <f aca="false">IF(G190=F190,"match","mismatch")</f>
        <v>match</v>
      </c>
    </row>
    <row r="191" customFormat="false" ht="15" hidden="false" customHeight="false" outlineLevel="0" collapsed="false">
      <c r="A191" s="8" t="s">
        <v>38</v>
      </c>
      <c r="B191" s="4" t="s">
        <v>39</v>
      </c>
      <c r="C191" s="4" t="n">
        <v>199</v>
      </c>
      <c r="D191" s="4" t="s">
        <v>29</v>
      </c>
      <c r="E191" s="9" t="n">
        <v>0.024</v>
      </c>
      <c r="F191" s="4" t="n">
        <v>0</v>
      </c>
      <c r="G191" s="4" t="n">
        <f aca="false">IF(E191&gt;0.5,1,0)</f>
        <v>0</v>
      </c>
      <c r="H191" s="4" t="str">
        <f aca="false">IF(G191=F191,"match","mismatch")</f>
        <v>match</v>
      </c>
    </row>
    <row r="192" customFormat="false" ht="15" hidden="false" customHeight="false" outlineLevel="0" collapsed="false">
      <c r="A192" s="8" t="s">
        <v>38</v>
      </c>
      <c r="B192" s="4" t="s">
        <v>39</v>
      </c>
      <c r="C192" s="4" t="n">
        <v>200</v>
      </c>
      <c r="D192" s="4" t="s">
        <v>36</v>
      </c>
      <c r="E192" s="9" t="n">
        <v>0.006</v>
      </c>
      <c r="F192" s="4" t="n">
        <v>0</v>
      </c>
      <c r="G192" s="4" t="n">
        <f aca="false">IF(E192&gt;0.5,1,0)</f>
        <v>0</v>
      </c>
      <c r="H192" s="4" t="str">
        <f aca="false">IF(G192=F192,"match","mismatch")</f>
        <v>match</v>
      </c>
    </row>
    <row r="193" customFormat="false" ht="15" hidden="false" customHeight="false" outlineLevel="0" collapsed="false">
      <c r="A193" s="8" t="s">
        <v>38</v>
      </c>
      <c r="B193" s="4" t="s">
        <v>39</v>
      </c>
      <c r="C193" s="4" t="n">
        <v>201</v>
      </c>
      <c r="D193" s="4" t="s">
        <v>30</v>
      </c>
      <c r="E193" s="9" t="n">
        <v>0.003</v>
      </c>
      <c r="F193" s="4" t="n">
        <v>0</v>
      </c>
      <c r="G193" s="4" t="n">
        <f aca="false">IF(E193&gt;0.5,1,0)</f>
        <v>0</v>
      </c>
      <c r="H193" s="4" t="str">
        <f aca="false">IF(G193=F193,"match","mismatch")</f>
        <v>match</v>
      </c>
    </row>
    <row r="194" customFormat="false" ht="15" hidden="false" customHeight="false" outlineLevel="0" collapsed="false">
      <c r="A194" s="8" t="s">
        <v>38</v>
      </c>
      <c r="B194" s="4" t="s">
        <v>39</v>
      </c>
      <c r="C194" s="4" t="n">
        <v>202</v>
      </c>
      <c r="D194" s="4" t="s">
        <v>33</v>
      </c>
      <c r="E194" s="9" t="n">
        <v>0.003</v>
      </c>
      <c r="F194" s="4" t="n">
        <v>0</v>
      </c>
      <c r="G194" s="4" t="n">
        <f aca="false">IF(E194&gt;0.5,1,0)</f>
        <v>0</v>
      </c>
      <c r="H194" s="4" t="str">
        <f aca="false">IF(G194=F194,"match","mismatch")</f>
        <v>match</v>
      </c>
    </row>
    <row r="195" customFormat="false" ht="15" hidden="false" customHeight="false" outlineLevel="0" collapsed="false">
      <c r="A195" s="8" t="s">
        <v>38</v>
      </c>
      <c r="B195" s="4" t="s">
        <v>39</v>
      </c>
      <c r="C195" s="4" t="n">
        <v>203</v>
      </c>
      <c r="D195" s="4" t="s">
        <v>23</v>
      </c>
      <c r="E195" s="9" t="n">
        <v>0.001</v>
      </c>
      <c r="F195" s="4" t="n">
        <v>0</v>
      </c>
      <c r="G195" s="4" t="n">
        <f aca="false">IF(E195&gt;0.5,1,0)</f>
        <v>0</v>
      </c>
      <c r="H195" s="4" t="str">
        <f aca="false">IF(G195=F195,"match","mismatch")</f>
        <v>match</v>
      </c>
    </row>
    <row r="196" customFormat="false" ht="15" hidden="false" customHeight="false" outlineLevel="0" collapsed="false">
      <c r="A196" s="8" t="s">
        <v>38</v>
      </c>
      <c r="B196" s="4" t="s">
        <v>39</v>
      </c>
      <c r="C196" s="4" t="n">
        <v>204</v>
      </c>
      <c r="D196" s="4" t="s">
        <v>36</v>
      </c>
      <c r="E196" s="9" t="n">
        <v>0.011</v>
      </c>
      <c r="F196" s="4" t="n">
        <v>0</v>
      </c>
      <c r="G196" s="4" t="n">
        <f aca="false">IF(E196&gt;0.5,1,0)</f>
        <v>0</v>
      </c>
      <c r="H196" s="4" t="str">
        <f aca="false">IF(G196=F196,"match","mismatch")</f>
        <v>match</v>
      </c>
    </row>
    <row r="197" customFormat="false" ht="15" hidden="false" customHeight="false" outlineLevel="0" collapsed="false">
      <c r="A197" s="8" t="s">
        <v>38</v>
      </c>
      <c r="B197" s="4" t="s">
        <v>39</v>
      </c>
      <c r="C197" s="4" t="n">
        <v>205</v>
      </c>
      <c r="D197" s="4" t="s">
        <v>25</v>
      </c>
      <c r="E197" s="9" t="n">
        <v>0.006</v>
      </c>
      <c r="F197" s="4" t="n">
        <v>0</v>
      </c>
      <c r="G197" s="4" t="n">
        <f aca="false">IF(E197&gt;0.5,1,0)</f>
        <v>0</v>
      </c>
      <c r="H197" s="4" t="str">
        <f aca="false">IF(G197=F197,"match","mismatch")</f>
        <v>match</v>
      </c>
    </row>
    <row r="198" customFormat="false" ht="15" hidden="false" customHeight="false" outlineLevel="0" collapsed="false">
      <c r="A198" s="8" t="s">
        <v>38</v>
      </c>
      <c r="B198" s="4" t="s">
        <v>39</v>
      </c>
      <c r="C198" s="4" t="n">
        <v>206</v>
      </c>
      <c r="D198" s="4" t="s">
        <v>24</v>
      </c>
      <c r="E198" s="9" t="n">
        <v>0.001</v>
      </c>
      <c r="F198" s="4" t="n">
        <v>0</v>
      </c>
      <c r="G198" s="4" t="n">
        <f aca="false">IF(E198&gt;0.5,1,0)</f>
        <v>0</v>
      </c>
      <c r="H198" s="4" t="str">
        <f aca="false">IF(G198=F198,"match","mismatch")</f>
        <v>match</v>
      </c>
    </row>
    <row r="199" customFormat="false" ht="15" hidden="false" customHeight="false" outlineLevel="0" collapsed="false">
      <c r="A199" s="8" t="s">
        <v>38</v>
      </c>
      <c r="B199" s="4" t="s">
        <v>39</v>
      </c>
      <c r="C199" s="4" t="n">
        <v>207</v>
      </c>
      <c r="D199" s="4" t="s">
        <v>33</v>
      </c>
      <c r="E199" s="9" t="n">
        <v>0.008</v>
      </c>
      <c r="F199" s="4" t="n">
        <v>0</v>
      </c>
      <c r="G199" s="4" t="n">
        <f aca="false">IF(E199&gt;0.5,1,0)</f>
        <v>0</v>
      </c>
      <c r="H199" s="4" t="str">
        <f aca="false">IF(G199=F199,"match","mismatch")</f>
        <v>match</v>
      </c>
    </row>
    <row r="200" customFormat="false" ht="15" hidden="false" customHeight="false" outlineLevel="0" collapsed="false">
      <c r="A200" s="8" t="s">
        <v>38</v>
      </c>
      <c r="B200" s="4" t="s">
        <v>39</v>
      </c>
      <c r="C200" s="4" t="n">
        <v>208</v>
      </c>
      <c r="D200" s="4" t="s">
        <v>25</v>
      </c>
      <c r="E200" s="9" t="n">
        <v>0.077</v>
      </c>
      <c r="F200" s="4" t="n">
        <v>0</v>
      </c>
      <c r="G200" s="4" t="n">
        <f aca="false">IF(E200&gt;0.5,1,0)</f>
        <v>0</v>
      </c>
      <c r="H200" s="4" t="str">
        <f aca="false">IF(G200=F200,"match","mismatch")</f>
        <v>match</v>
      </c>
    </row>
    <row r="201" customFormat="false" ht="15" hidden="false" customHeight="false" outlineLevel="0" collapsed="false">
      <c r="A201" s="8" t="s">
        <v>38</v>
      </c>
      <c r="B201" s="4" t="s">
        <v>39</v>
      </c>
      <c r="C201" s="4" t="n">
        <v>209</v>
      </c>
      <c r="D201" s="4" t="s">
        <v>26</v>
      </c>
      <c r="E201" s="9" t="n">
        <v>0.207</v>
      </c>
      <c r="F201" s="4" t="n">
        <v>1</v>
      </c>
      <c r="G201" s="4" t="n">
        <f aca="false">IF(E201&gt;0.5,1,0)</f>
        <v>0</v>
      </c>
      <c r="H201" s="4" t="str">
        <f aca="false">IF(G201=F201,"match","mismatch")</f>
        <v>mismatch</v>
      </c>
    </row>
    <row r="202" customFormat="false" ht="15" hidden="false" customHeight="false" outlineLevel="0" collapsed="false">
      <c r="A202" s="8" t="s">
        <v>38</v>
      </c>
      <c r="B202" s="4" t="s">
        <v>39</v>
      </c>
      <c r="C202" s="4" t="n">
        <v>210</v>
      </c>
      <c r="D202" s="4" t="s">
        <v>33</v>
      </c>
      <c r="E202" s="9" t="n">
        <v>0.097</v>
      </c>
      <c r="F202" s="4" t="n">
        <v>0</v>
      </c>
      <c r="G202" s="4" t="n">
        <f aca="false">IF(E202&gt;0.5,1,0)</f>
        <v>0</v>
      </c>
      <c r="H202" s="4" t="str">
        <f aca="false">IF(G202=F202,"match","mismatch")</f>
        <v>match</v>
      </c>
    </row>
    <row r="203" customFormat="false" ht="15" hidden="false" customHeight="false" outlineLevel="0" collapsed="false">
      <c r="A203" s="8" t="s">
        <v>38</v>
      </c>
      <c r="B203" s="4" t="s">
        <v>39</v>
      </c>
      <c r="C203" s="4" t="n">
        <v>211</v>
      </c>
      <c r="D203" s="4" t="s">
        <v>28</v>
      </c>
      <c r="E203" s="9" t="n">
        <v>0.009</v>
      </c>
      <c r="F203" s="4" t="n">
        <v>0</v>
      </c>
      <c r="G203" s="4" t="n">
        <f aca="false">IF(E203&gt;0.5,1,0)</f>
        <v>0</v>
      </c>
      <c r="H203" s="4" t="str">
        <f aca="false">IF(G203=F203,"match","mismatch")</f>
        <v>match</v>
      </c>
    </row>
    <row r="204" customFormat="false" ht="15" hidden="false" customHeight="false" outlineLevel="0" collapsed="false">
      <c r="A204" s="8" t="s">
        <v>38</v>
      </c>
      <c r="B204" s="4" t="s">
        <v>39</v>
      </c>
      <c r="C204" s="4" t="n">
        <v>212</v>
      </c>
      <c r="D204" s="4" t="s">
        <v>29</v>
      </c>
      <c r="E204" s="9" t="n">
        <v>0.933</v>
      </c>
      <c r="F204" s="4" t="n">
        <v>1</v>
      </c>
      <c r="G204" s="4" t="n">
        <f aca="false">IF(E204&gt;0.5,1,0)</f>
        <v>1</v>
      </c>
      <c r="H204" s="4" t="str">
        <f aca="false">IF(G204=F204,"match","mismatch")</f>
        <v>match</v>
      </c>
    </row>
    <row r="205" customFormat="false" ht="15" hidden="false" customHeight="false" outlineLevel="0" collapsed="false">
      <c r="A205" s="8" t="s">
        <v>38</v>
      </c>
      <c r="B205" s="4" t="s">
        <v>39</v>
      </c>
      <c r="C205" s="4" t="n">
        <v>213</v>
      </c>
      <c r="D205" s="4" t="s">
        <v>27</v>
      </c>
      <c r="E205" s="9" t="n">
        <v>0.976</v>
      </c>
      <c r="F205" s="4" t="n">
        <v>1</v>
      </c>
      <c r="G205" s="4" t="n">
        <f aca="false">IF(E205&gt;0.5,1,0)</f>
        <v>1</v>
      </c>
      <c r="H205" s="4" t="str">
        <f aca="false">IF(G205=F205,"match","mismatch")</f>
        <v>match</v>
      </c>
    </row>
    <row r="206" customFormat="false" ht="15" hidden="false" customHeight="false" outlineLevel="0" collapsed="false">
      <c r="A206" s="8" t="s">
        <v>38</v>
      </c>
      <c r="B206" s="4" t="s">
        <v>39</v>
      </c>
      <c r="C206" s="4" t="n">
        <v>214</v>
      </c>
      <c r="D206" s="4" t="s">
        <v>41</v>
      </c>
      <c r="E206" s="9" t="n">
        <v>0.28</v>
      </c>
      <c r="F206" s="4" t="n">
        <v>1</v>
      </c>
      <c r="G206" s="4" t="n">
        <f aca="false">IF(E206&gt;0.5,1,0)</f>
        <v>0</v>
      </c>
      <c r="H206" s="4" t="str">
        <f aca="false">IF(G206=F206,"match","mismatch")</f>
        <v>mismatch</v>
      </c>
    </row>
    <row r="207" customFormat="false" ht="15" hidden="false" customHeight="false" outlineLevel="0" collapsed="false">
      <c r="A207" s="8" t="s">
        <v>38</v>
      </c>
      <c r="B207" s="4" t="s">
        <v>39</v>
      </c>
      <c r="C207" s="4" t="n">
        <v>215</v>
      </c>
      <c r="D207" s="4" t="s">
        <v>34</v>
      </c>
      <c r="E207" s="9" t="n">
        <v>0.808</v>
      </c>
      <c r="F207" s="4" t="n">
        <v>1</v>
      </c>
      <c r="G207" s="4" t="n">
        <f aca="false">IF(E207&gt;0.5,1,0)</f>
        <v>1</v>
      </c>
      <c r="H207" s="4" t="str">
        <f aca="false">IF(G207=F207,"match","mismatch")</f>
        <v>match</v>
      </c>
    </row>
    <row r="208" customFormat="false" ht="15" hidden="false" customHeight="false" outlineLevel="0" collapsed="false">
      <c r="A208" s="8" t="s">
        <v>38</v>
      </c>
      <c r="B208" s="4" t="s">
        <v>39</v>
      </c>
      <c r="C208" s="4" t="n">
        <v>216</v>
      </c>
      <c r="D208" s="4" t="s">
        <v>46</v>
      </c>
      <c r="E208" s="9" t="n">
        <v>0.072</v>
      </c>
      <c r="F208" s="4" t="n">
        <v>0</v>
      </c>
      <c r="G208" s="4" t="n">
        <f aca="false">IF(E208&gt;0.5,1,0)</f>
        <v>0</v>
      </c>
      <c r="H208" s="4" t="str">
        <f aca="false">IF(G208=F208,"match","mismatch")</f>
        <v>match</v>
      </c>
    </row>
    <row r="209" customFormat="false" ht="15" hidden="false" customHeight="false" outlineLevel="0" collapsed="false">
      <c r="A209" s="8" t="s">
        <v>38</v>
      </c>
      <c r="B209" s="4" t="s">
        <v>39</v>
      </c>
      <c r="C209" s="4" t="n">
        <v>217</v>
      </c>
      <c r="D209" s="4" t="s">
        <v>25</v>
      </c>
      <c r="E209" s="9" t="n">
        <v>0.119</v>
      </c>
      <c r="F209" s="4" t="n">
        <v>0</v>
      </c>
      <c r="G209" s="4" t="n">
        <f aca="false">IF(E209&gt;0.5,1,0)</f>
        <v>0</v>
      </c>
      <c r="H209" s="4" t="str">
        <f aca="false">IF(G209=F209,"match","mismatch")</f>
        <v>match</v>
      </c>
    </row>
    <row r="210" customFormat="false" ht="15" hidden="false" customHeight="false" outlineLevel="0" collapsed="false">
      <c r="A210" s="8" t="s">
        <v>38</v>
      </c>
      <c r="B210" s="4" t="s">
        <v>39</v>
      </c>
      <c r="C210" s="4" t="n">
        <v>218</v>
      </c>
      <c r="D210" s="4" t="s">
        <v>46</v>
      </c>
      <c r="E210" s="9" t="n">
        <v>0.006</v>
      </c>
      <c r="F210" s="4" t="n">
        <v>0</v>
      </c>
      <c r="G210" s="4" t="n">
        <f aca="false">IF(E210&gt;0.5,1,0)</f>
        <v>0</v>
      </c>
      <c r="H210" s="4" t="str">
        <f aca="false">IF(G210=F210,"match","mismatch")</f>
        <v>match</v>
      </c>
    </row>
    <row r="211" customFormat="false" ht="15" hidden="false" customHeight="false" outlineLevel="0" collapsed="false">
      <c r="A211" s="8" t="s">
        <v>38</v>
      </c>
      <c r="B211" s="4" t="s">
        <v>39</v>
      </c>
      <c r="C211" s="4" t="n">
        <v>219</v>
      </c>
      <c r="D211" s="4" t="s">
        <v>26</v>
      </c>
      <c r="E211" s="9" t="n">
        <v>0.013</v>
      </c>
      <c r="F211" s="4" t="n">
        <v>0</v>
      </c>
      <c r="G211" s="4" t="n">
        <f aca="false">IF(E211&gt;0.5,1,0)</f>
        <v>0</v>
      </c>
      <c r="H211" s="4" t="str">
        <f aca="false">IF(G211=F211,"match","mismatch")</f>
        <v>match</v>
      </c>
    </row>
    <row r="212" customFormat="false" ht="15" hidden="false" customHeight="false" outlineLevel="0" collapsed="false">
      <c r="A212" s="8" t="s">
        <v>38</v>
      </c>
      <c r="B212" s="4" t="s">
        <v>39</v>
      </c>
      <c r="C212" s="4" t="n">
        <v>220</v>
      </c>
      <c r="D212" s="4" t="s">
        <v>24</v>
      </c>
      <c r="E212" s="9" t="n">
        <v>0.009</v>
      </c>
      <c r="F212" s="4" t="n">
        <v>0</v>
      </c>
      <c r="G212" s="4" t="n">
        <f aca="false">IF(E212&gt;0.5,1,0)</f>
        <v>0</v>
      </c>
      <c r="H212" s="4" t="str">
        <f aca="false">IF(G212=F212,"match","mismatch")</f>
        <v>match</v>
      </c>
    </row>
    <row r="213" customFormat="false" ht="15" hidden="false" customHeight="false" outlineLevel="0" collapsed="false">
      <c r="A213" s="8" t="s">
        <v>38</v>
      </c>
      <c r="B213" s="4" t="s">
        <v>39</v>
      </c>
      <c r="C213" s="4" t="n">
        <v>221</v>
      </c>
      <c r="D213" s="4" t="s">
        <v>25</v>
      </c>
      <c r="E213" s="9" t="n">
        <v>0.009</v>
      </c>
      <c r="F213" s="4" t="n">
        <v>0</v>
      </c>
      <c r="G213" s="4" t="n">
        <f aca="false">IF(E213&gt;0.5,1,0)</f>
        <v>0</v>
      </c>
      <c r="H213" s="4" t="str">
        <f aca="false">IF(G213=F213,"match","mismatch")</f>
        <v>match</v>
      </c>
    </row>
    <row r="214" customFormat="false" ht="15" hidden="false" customHeight="false" outlineLevel="0" collapsed="false">
      <c r="A214" s="8" t="s">
        <v>38</v>
      </c>
      <c r="B214" s="4" t="s">
        <v>39</v>
      </c>
      <c r="C214" s="4" t="n">
        <v>222</v>
      </c>
      <c r="D214" s="4" t="s">
        <v>42</v>
      </c>
      <c r="E214" s="9" t="n">
        <v>0.003</v>
      </c>
      <c r="F214" s="4" t="n">
        <v>0</v>
      </c>
      <c r="G214" s="4" t="n">
        <f aca="false">IF(E214&gt;0.5,1,0)</f>
        <v>0</v>
      </c>
      <c r="H214" s="4" t="str">
        <f aca="false">IF(G214=F214,"match","mismatch")</f>
        <v>match</v>
      </c>
    </row>
    <row r="215" customFormat="false" ht="15" hidden="false" customHeight="false" outlineLevel="0" collapsed="false">
      <c r="A215" s="8" t="s">
        <v>38</v>
      </c>
      <c r="B215" s="4" t="s">
        <v>39</v>
      </c>
      <c r="C215" s="4" t="n">
        <v>223</v>
      </c>
      <c r="D215" s="4" t="s">
        <v>46</v>
      </c>
      <c r="E215" s="9" t="n">
        <v>0.003</v>
      </c>
      <c r="F215" s="4" t="n">
        <v>0</v>
      </c>
      <c r="G215" s="4" t="n">
        <f aca="false">IF(E215&gt;0.5,1,0)</f>
        <v>0</v>
      </c>
      <c r="H215" s="4" t="str">
        <f aca="false">IF(G215=F215,"match","mismatch")</f>
        <v>match</v>
      </c>
    </row>
    <row r="216" customFormat="false" ht="15" hidden="false" customHeight="false" outlineLevel="0" collapsed="false">
      <c r="A216" s="8" t="s">
        <v>38</v>
      </c>
      <c r="B216" s="4" t="s">
        <v>39</v>
      </c>
      <c r="C216" s="4" t="n">
        <v>224</v>
      </c>
      <c r="D216" s="4" t="s">
        <v>33</v>
      </c>
      <c r="E216" s="9" t="n">
        <v>0.003</v>
      </c>
      <c r="F216" s="4" t="n">
        <v>0</v>
      </c>
      <c r="G216" s="4" t="n">
        <f aca="false">IF(E216&gt;0.5,1,0)</f>
        <v>0</v>
      </c>
      <c r="H216" s="4" t="str">
        <f aca="false">IF(G216=F216,"match","mismatch")</f>
        <v>match</v>
      </c>
    </row>
    <row r="217" customFormat="false" ht="15" hidden="false" customHeight="false" outlineLevel="0" collapsed="false">
      <c r="A217" s="8" t="s">
        <v>38</v>
      </c>
      <c r="B217" s="4" t="s">
        <v>39</v>
      </c>
      <c r="C217" s="4" t="n">
        <v>225</v>
      </c>
      <c r="D217" s="4" t="s">
        <v>31</v>
      </c>
      <c r="E217" s="9" t="n">
        <v>0.006</v>
      </c>
      <c r="F217" s="4" t="n">
        <v>0</v>
      </c>
      <c r="G217" s="4" t="n">
        <f aca="false">IF(E217&gt;0.5,1,0)</f>
        <v>0</v>
      </c>
      <c r="H217" s="4" t="str">
        <f aca="false">IF(G217=F217,"match","mismatch")</f>
        <v>match</v>
      </c>
    </row>
    <row r="218" customFormat="false" ht="15" hidden="false" customHeight="false" outlineLevel="0" collapsed="false">
      <c r="A218" s="8" t="s">
        <v>38</v>
      </c>
      <c r="B218" s="4" t="s">
        <v>39</v>
      </c>
      <c r="C218" s="4" t="n">
        <v>226</v>
      </c>
      <c r="D218" s="4" t="s">
        <v>29</v>
      </c>
      <c r="E218" s="9" t="n">
        <v>0.009</v>
      </c>
      <c r="F218" s="4" t="n">
        <v>0</v>
      </c>
      <c r="G218" s="4" t="n">
        <f aca="false">IF(E218&gt;0.5,1,0)</f>
        <v>0</v>
      </c>
      <c r="H218" s="4" t="str">
        <f aca="false">IF(G218=F218,"match","mismatch")</f>
        <v>match</v>
      </c>
    </row>
    <row r="219" customFormat="false" ht="15" hidden="false" customHeight="false" outlineLevel="0" collapsed="false">
      <c r="A219" s="8" t="s">
        <v>38</v>
      </c>
      <c r="B219" s="4" t="s">
        <v>39</v>
      </c>
      <c r="C219" s="4" t="n">
        <v>227</v>
      </c>
      <c r="D219" s="4" t="s">
        <v>32</v>
      </c>
      <c r="E219" s="9" t="n">
        <v>0.01</v>
      </c>
      <c r="F219" s="4" t="n">
        <v>0</v>
      </c>
      <c r="G219" s="4" t="n">
        <f aca="false">IF(E219&gt;0.5,1,0)</f>
        <v>0</v>
      </c>
      <c r="H219" s="4" t="str">
        <f aca="false">IF(G219=F219,"match","mismatch")</f>
        <v>match</v>
      </c>
    </row>
    <row r="220" customFormat="false" ht="15" hidden="false" customHeight="false" outlineLevel="0" collapsed="false">
      <c r="A220" s="8" t="s">
        <v>38</v>
      </c>
      <c r="B220" s="4" t="s">
        <v>39</v>
      </c>
      <c r="C220" s="4" t="n">
        <v>228</v>
      </c>
      <c r="D220" s="4" t="s">
        <v>31</v>
      </c>
      <c r="E220" s="9" t="n">
        <v>0.007</v>
      </c>
      <c r="F220" s="4" t="n">
        <v>0</v>
      </c>
      <c r="G220" s="4" t="n">
        <f aca="false">IF(E220&gt;0.5,1,0)</f>
        <v>0</v>
      </c>
      <c r="H220" s="4" t="str">
        <f aca="false">IF(G220=F220,"match","mismatch")</f>
        <v>match</v>
      </c>
    </row>
    <row r="221" customFormat="false" ht="15" hidden="false" customHeight="false" outlineLevel="0" collapsed="false">
      <c r="A221" s="8" t="s">
        <v>38</v>
      </c>
      <c r="B221" s="4" t="s">
        <v>39</v>
      </c>
      <c r="C221" s="4" t="n">
        <v>229</v>
      </c>
      <c r="D221" s="4" t="s">
        <v>35</v>
      </c>
      <c r="E221" s="9" t="n">
        <v>0.008</v>
      </c>
      <c r="F221" s="4" t="n">
        <v>0</v>
      </c>
      <c r="G221" s="4" t="n">
        <f aca="false">IF(E221&gt;0.5,1,0)</f>
        <v>0</v>
      </c>
      <c r="H221" s="4" t="str">
        <f aca="false">IF(G221=F221,"match","mismatch")</f>
        <v>match</v>
      </c>
    </row>
    <row r="222" customFormat="false" ht="15" hidden="false" customHeight="false" outlineLevel="0" collapsed="false">
      <c r="A222" s="8" t="s">
        <v>38</v>
      </c>
      <c r="B222" s="4" t="s">
        <v>39</v>
      </c>
      <c r="C222" s="4" t="n">
        <v>230</v>
      </c>
      <c r="D222" s="4" t="s">
        <v>29</v>
      </c>
      <c r="E222" s="9" t="n">
        <v>0.044</v>
      </c>
      <c r="F222" s="4" t="n">
        <v>0</v>
      </c>
      <c r="G222" s="4" t="n">
        <f aca="false">IF(E222&gt;0.5,1,0)</f>
        <v>0</v>
      </c>
      <c r="H222" s="4" t="str">
        <f aca="false">IF(G222=F222,"match","mismatch")</f>
        <v>match</v>
      </c>
    </row>
    <row r="223" customFormat="false" ht="15" hidden="false" customHeight="false" outlineLevel="0" collapsed="false">
      <c r="A223" s="8" t="s">
        <v>38</v>
      </c>
      <c r="B223" s="4" t="s">
        <v>39</v>
      </c>
      <c r="C223" s="4" t="n">
        <v>231</v>
      </c>
      <c r="D223" s="4" t="s">
        <v>33</v>
      </c>
      <c r="E223" s="9" t="n">
        <v>0.015</v>
      </c>
      <c r="F223" s="4" t="n">
        <v>0</v>
      </c>
      <c r="G223" s="4" t="n">
        <f aca="false">IF(E223&gt;0.5,1,0)</f>
        <v>0</v>
      </c>
      <c r="H223" s="4" t="str">
        <f aca="false">IF(G223=F223,"match","mismatch")</f>
        <v>match</v>
      </c>
    </row>
    <row r="224" customFormat="false" ht="15" hidden="false" customHeight="false" outlineLevel="0" collapsed="false">
      <c r="A224" s="8" t="s">
        <v>38</v>
      </c>
      <c r="B224" s="4" t="s">
        <v>39</v>
      </c>
      <c r="C224" s="4" t="n">
        <v>232</v>
      </c>
      <c r="D224" s="4" t="s">
        <v>30</v>
      </c>
      <c r="E224" s="9" t="n">
        <v>0.006</v>
      </c>
      <c r="F224" s="4" t="n">
        <v>0</v>
      </c>
      <c r="G224" s="4" t="n">
        <f aca="false">IF(E224&gt;0.5,1,0)</f>
        <v>0</v>
      </c>
      <c r="H224" s="4" t="str">
        <f aca="false">IF(G224=F224,"match","mismatch")</f>
        <v>match</v>
      </c>
    </row>
    <row r="225" customFormat="false" ht="15" hidden="false" customHeight="false" outlineLevel="0" collapsed="false">
      <c r="A225" s="8" t="s">
        <v>38</v>
      </c>
      <c r="B225" s="4" t="s">
        <v>39</v>
      </c>
      <c r="C225" s="4" t="n">
        <v>233</v>
      </c>
      <c r="D225" s="4" t="s">
        <v>32</v>
      </c>
      <c r="E225" s="9" t="n">
        <v>0.007</v>
      </c>
      <c r="F225" s="4" t="n">
        <v>0</v>
      </c>
      <c r="G225" s="4" t="n">
        <f aca="false">IF(E225&gt;0.5,1,0)</f>
        <v>0</v>
      </c>
      <c r="H225" s="4" t="str">
        <f aca="false">IF(G225=F225,"match","mismatch")</f>
        <v>match</v>
      </c>
    </row>
    <row r="226" customFormat="false" ht="15" hidden="false" customHeight="false" outlineLevel="0" collapsed="false">
      <c r="A226" s="8" t="s">
        <v>38</v>
      </c>
      <c r="B226" s="4" t="s">
        <v>39</v>
      </c>
      <c r="C226" s="4" t="n">
        <v>234</v>
      </c>
      <c r="D226" s="4" t="s">
        <v>29</v>
      </c>
      <c r="E226" s="9" t="n">
        <v>0.012</v>
      </c>
      <c r="F226" s="4" t="n">
        <v>0</v>
      </c>
      <c r="G226" s="4" t="n">
        <f aca="false">IF(E226&gt;0.5,1,0)</f>
        <v>0</v>
      </c>
      <c r="H226" s="4" t="str">
        <f aca="false">IF(G226=F226,"match","mismatch")</f>
        <v>match</v>
      </c>
    </row>
    <row r="227" customFormat="false" ht="15" hidden="false" customHeight="false" outlineLevel="0" collapsed="false">
      <c r="A227" s="8" t="s">
        <v>38</v>
      </c>
      <c r="B227" s="4" t="s">
        <v>39</v>
      </c>
      <c r="C227" s="4" t="n">
        <v>235</v>
      </c>
      <c r="D227" s="4" t="s">
        <v>36</v>
      </c>
      <c r="E227" s="9" t="n">
        <v>0.006</v>
      </c>
      <c r="F227" s="4" t="n">
        <v>0</v>
      </c>
      <c r="G227" s="4" t="n">
        <f aca="false">IF(E227&gt;0.5,1,0)</f>
        <v>0</v>
      </c>
      <c r="H227" s="4" t="str">
        <f aca="false">IF(G227=F227,"match","mismatch")</f>
        <v>match</v>
      </c>
    </row>
    <row r="228" customFormat="false" ht="15" hidden="false" customHeight="false" outlineLevel="0" collapsed="false">
      <c r="A228" s="8" t="s">
        <v>38</v>
      </c>
      <c r="B228" s="4" t="s">
        <v>39</v>
      </c>
      <c r="C228" s="4" t="n">
        <v>236</v>
      </c>
      <c r="D228" s="4" t="s">
        <v>24</v>
      </c>
      <c r="E228" s="9" t="n">
        <v>0.002</v>
      </c>
      <c r="F228" s="4" t="n">
        <v>0</v>
      </c>
      <c r="G228" s="4" t="n">
        <f aca="false">IF(E228&gt;0.5,1,0)</f>
        <v>0</v>
      </c>
      <c r="H228" s="4" t="str">
        <f aca="false">IF(G228=F228,"match","mismatch")</f>
        <v>match</v>
      </c>
    </row>
    <row r="229" customFormat="false" ht="15" hidden="false" customHeight="false" outlineLevel="0" collapsed="false">
      <c r="A229" s="8" t="s">
        <v>38</v>
      </c>
      <c r="B229" s="4" t="s">
        <v>39</v>
      </c>
      <c r="C229" s="4" t="n">
        <v>237</v>
      </c>
      <c r="D229" s="4" t="s">
        <v>28</v>
      </c>
      <c r="E229" s="9" t="n">
        <v>0.001</v>
      </c>
      <c r="F229" s="4" t="n">
        <v>0</v>
      </c>
      <c r="G229" s="4" t="n">
        <f aca="false">IF(E229&gt;0.5,1,0)</f>
        <v>0</v>
      </c>
      <c r="H229" s="4" t="str">
        <f aca="false">IF(G229=F229,"match","mismatch")</f>
        <v>match</v>
      </c>
    </row>
    <row r="230" customFormat="false" ht="15" hidden="false" customHeight="false" outlineLevel="0" collapsed="false">
      <c r="A230" s="8" t="s">
        <v>38</v>
      </c>
      <c r="B230" s="4" t="s">
        <v>39</v>
      </c>
      <c r="C230" s="4" t="n">
        <v>238</v>
      </c>
      <c r="D230" s="4" t="s">
        <v>29</v>
      </c>
      <c r="E230" s="9" t="n">
        <v>0.03</v>
      </c>
      <c r="F230" s="4" t="n">
        <v>0</v>
      </c>
      <c r="G230" s="4" t="n">
        <f aca="false">IF(E230&gt;0.5,1,0)</f>
        <v>0</v>
      </c>
      <c r="H230" s="4" t="str">
        <f aca="false">IF(G230=F230,"match","mismatch")</f>
        <v>match</v>
      </c>
    </row>
    <row r="231" customFormat="false" ht="15" hidden="false" customHeight="false" outlineLevel="0" collapsed="false">
      <c r="A231" s="8" t="s">
        <v>38</v>
      </c>
      <c r="B231" s="4" t="s">
        <v>39</v>
      </c>
      <c r="C231" s="4" t="n">
        <v>239</v>
      </c>
      <c r="D231" s="4" t="s">
        <v>25</v>
      </c>
      <c r="E231" s="9" t="n">
        <v>0.006</v>
      </c>
      <c r="F231" s="4" t="n">
        <v>0</v>
      </c>
      <c r="G231" s="4" t="n">
        <f aca="false">IF(E231&gt;0.5,1,0)</f>
        <v>0</v>
      </c>
      <c r="H231" s="4" t="str">
        <f aca="false">IF(G231=F231,"match","mismatch")</f>
        <v>match</v>
      </c>
    </row>
    <row r="232" customFormat="false" ht="15" hidden="false" customHeight="false" outlineLevel="0" collapsed="false">
      <c r="A232" s="8" t="s">
        <v>38</v>
      </c>
      <c r="B232" s="4" t="s">
        <v>39</v>
      </c>
      <c r="C232" s="4" t="n">
        <v>240</v>
      </c>
      <c r="D232" s="4" t="s">
        <v>34</v>
      </c>
      <c r="E232" s="9" t="n">
        <v>0.002</v>
      </c>
      <c r="F232" s="4" t="n">
        <v>0</v>
      </c>
      <c r="G232" s="4" t="n">
        <f aca="false">IF(E232&gt;0.5,1,0)</f>
        <v>0</v>
      </c>
      <c r="H232" s="4" t="str">
        <f aca="false">IF(G232=F232,"match","mismatch")</f>
        <v>match</v>
      </c>
    </row>
    <row r="233" customFormat="false" ht="15" hidden="false" customHeight="false" outlineLevel="0" collapsed="false">
      <c r="A233" s="8" t="s">
        <v>38</v>
      </c>
      <c r="B233" s="4" t="s">
        <v>39</v>
      </c>
      <c r="C233" s="4" t="n">
        <v>241</v>
      </c>
      <c r="D233" s="4" t="s">
        <v>29</v>
      </c>
      <c r="E233" s="9" t="n">
        <v>0.007</v>
      </c>
      <c r="F233" s="4" t="n">
        <v>0</v>
      </c>
      <c r="G233" s="4" t="n">
        <f aca="false">IF(E233&gt;0.5,1,0)</f>
        <v>0</v>
      </c>
      <c r="H233" s="4" t="str">
        <f aca="false">IF(G233=F233,"match","mismatch")</f>
        <v>match</v>
      </c>
    </row>
    <row r="234" customFormat="false" ht="15" hidden="false" customHeight="false" outlineLevel="0" collapsed="false">
      <c r="A234" s="8" t="s">
        <v>38</v>
      </c>
      <c r="B234" s="4" t="s">
        <v>39</v>
      </c>
      <c r="C234" s="4" t="n">
        <v>242</v>
      </c>
      <c r="D234" s="4" t="s">
        <v>26</v>
      </c>
      <c r="E234" s="9" t="n">
        <v>0.002</v>
      </c>
      <c r="F234" s="4" t="n">
        <v>0</v>
      </c>
      <c r="G234" s="4" t="n">
        <f aca="false">IF(E234&gt;0.5,1,0)</f>
        <v>0</v>
      </c>
      <c r="H234" s="4" t="str">
        <f aca="false">IF(G234=F234,"match","mismatch")</f>
        <v>match</v>
      </c>
    </row>
    <row r="235" customFormat="false" ht="15" hidden="false" customHeight="false" outlineLevel="0" collapsed="false">
      <c r="A235" s="8" t="s">
        <v>38</v>
      </c>
      <c r="B235" s="4" t="s">
        <v>39</v>
      </c>
      <c r="C235" s="4" t="n">
        <v>243</v>
      </c>
      <c r="D235" s="4" t="s">
        <v>24</v>
      </c>
      <c r="E235" s="9" t="n">
        <v>0.001</v>
      </c>
      <c r="F235" s="4" t="n">
        <v>0</v>
      </c>
      <c r="G235" s="4" t="n">
        <f aca="false">IF(E235&gt;0.5,1,0)</f>
        <v>0</v>
      </c>
      <c r="H235" s="4" t="str">
        <f aca="false">IF(G235=F235,"match","mismatch")</f>
        <v>match</v>
      </c>
    </row>
    <row r="236" customFormat="false" ht="15" hidden="false" customHeight="false" outlineLevel="0" collapsed="false">
      <c r="A236" s="8" t="s">
        <v>38</v>
      </c>
      <c r="B236" s="4" t="s">
        <v>39</v>
      </c>
      <c r="C236" s="4" t="n">
        <v>244</v>
      </c>
      <c r="D236" s="4" t="s">
        <v>24</v>
      </c>
      <c r="E236" s="9" t="n">
        <v>0.003</v>
      </c>
      <c r="F236" s="4" t="n">
        <v>0</v>
      </c>
      <c r="G236" s="4" t="n">
        <f aca="false">IF(E236&gt;0.5,1,0)</f>
        <v>0</v>
      </c>
      <c r="H236" s="4" t="str">
        <f aca="false">IF(G236=F236,"match","mismatch")</f>
        <v>match</v>
      </c>
    </row>
    <row r="237" customFormat="false" ht="15" hidden="false" customHeight="false" outlineLevel="0" collapsed="false">
      <c r="A237" s="8" t="s">
        <v>38</v>
      </c>
      <c r="B237" s="4" t="s">
        <v>39</v>
      </c>
      <c r="C237" s="4" t="n">
        <v>245</v>
      </c>
      <c r="D237" s="4" t="s">
        <v>29</v>
      </c>
      <c r="E237" s="9" t="n">
        <v>0.022</v>
      </c>
      <c r="F237" s="4" t="n">
        <v>0</v>
      </c>
      <c r="G237" s="4" t="n">
        <f aca="false">IF(E237&gt;0.5,1,0)</f>
        <v>0</v>
      </c>
      <c r="H237" s="4" t="str">
        <f aca="false">IF(G237=F237,"match","mismatch")</f>
        <v>match</v>
      </c>
    </row>
    <row r="238" customFormat="false" ht="15" hidden="false" customHeight="false" outlineLevel="0" collapsed="false">
      <c r="A238" s="8" t="s">
        <v>38</v>
      </c>
      <c r="B238" s="4" t="s">
        <v>39</v>
      </c>
      <c r="C238" s="4" t="n">
        <v>246</v>
      </c>
      <c r="D238" s="4" t="s">
        <v>24</v>
      </c>
      <c r="E238" s="9" t="n">
        <v>0.002</v>
      </c>
      <c r="F238" s="4" t="n">
        <v>0</v>
      </c>
      <c r="G238" s="4" t="n">
        <f aca="false">IF(E238&gt;0.5,1,0)</f>
        <v>0</v>
      </c>
      <c r="H238" s="4" t="str">
        <f aca="false">IF(G238=F238,"match","mismatch")</f>
        <v>match</v>
      </c>
    </row>
    <row r="239" customFormat="false" ht="15" hidden="false" customHeight="false" outlineLevel="0" collapsed="false">
      <c r="A239" s="8" t="s">
        <v>38</v>
      </c>
      <c r="B239" s="4" t="s">
        <v>39</v>
      </c>
      <c r="C239" s="4" t="n">
        <v>247</v>
      </c>
      <c r="D239" s="4" t="s">
        <v>33</v>
      </c>
      <c r="E239" s="9" t="n">
        <v>0.004</v>
      </c>
      <c r="F239" s="4" t="n">
        <v>0</v>
      </c>
      <c r="G239" s="4" t="n">
        <f aca="false">IF(E239&gt;0.5,1,0)</f>
        <v>0</v>
      </c>
      <c r="H239" s="4" t="str">
        <f aca="false">IF(G239=F239,"match","mismatch")</f>
        <v>match</v>
      </c>
    </row>
    <row r="240" customFormat="false" ht="15" hidden="false" customHeight="false" outlineLevel="0" collapsed="false">
      <c r="A240" s="8" t="s">
        <v>38</v>
      </c>
      <c r="B240" s="4" t="s">
        <v>39</v>
      </c>
      <c r="C240" s="4" t="n">
        <v>248</v>
      </c>
      <c r="D240" s="4" t="s">
        <v>37</v>
      </c>
      <c r="E240" s="9" t="n">
        <v>0.007</v>
      </c>
      <c r="F240" s="4" t="n">
        <v>0</v>
      </c>
      <c r="G240" s="4" t="n">
        <f aca="false">IF(E240&gt;0.5,1,0)</f>
        <v>0</v>
      </c>
      <c r="H240" s="4" t="str">
        <f aca="false">IF(G240=F240,"match","mismatch")</f>
        <v>match</v>
      </c>
    </row>
    <row r="241" customFormat="false" ht="15" hidden="false" customHeight="false" outlineLevel="0" collapsed="false">
      <c r="A241" s="8" t="s">
        <v>38</v>
      </c>
      <c r="B241" s="4" t="s">
        <v>39</v>
      </c>
      <c r="C241" s="4" t="n">
        <v>249</v>
      </c>
      <c r="D241" s="4" t="s">
        <v>25</v>
      </c>
      <c r="E241" s="9" t="n">
        <v>0.012</v>
      </c>
      <c r="F241" s="4" t="n">
        <v>0</v>
      </c>
      <c r="G241" s="4" t="n">
        <f aca="false">IF(E241&gt;0.5,1,0)</f>
        <v>0</v>
      </c>
      <c r="H241" s="4" t="str">
        <f aca="false">IF(G241=F241,"match","mismatch")</f>
        <v>match</v>
      </c>
    </row>
    <row r="242" customFormat="false" ht="15" hidden="false" customHeight="false" outlineLevel="0" collapsed="false">
      <c r="A242" s="8" t="s">
        <v>38</v>
      </c>
      <c r="B242" s="4" t="s">
        <v>39</v>
      </c>
      <c r="C242" s="4" t="n">
        <v>250</v>
      </c>
      <c r="D242" s="4" t="s">
        <v>42</v>
      </c>
      <c r="E242" s="9" t="n">
        <v>0.002</v>
      </c>
      <c r="F242" s="4" t="n">
        <v>0</v>
      </c>
      <c r="G242" s="4" t="n">
        <f aca="false">IF(E242&gt;0.5,1,0)</f>
        <v>0</v>
      </c>
      <c r="H242" s="4" t="str">
        <f aca="false">IF(G242=F242,"match","mismatch")</f>
        <v>match</v>
      </c>
    </row>
    <row r="243" customFormat="false" ht="15" hidden="false" customHeight="false" outlineLevel="0" collapsed="false">
      <c r="A243" s="8" t="s">
        <v>38</v>
      </c>
      <c r="B243" s="4" t="s">
        <v>39</v>
      </c>
      <c r="C243" s="4" t="n">
        <v>251</v>
      </c>
      <c r="D243" s="4" t="s">
        <v>41</v>
      </c>
      <c r="E243" s="9" t="n">
        <v>0.014</v>
      </c>
      <c r="F243" s="4" t="n">
        <v>0</v>
      </c>
      <c r="G243" s="4" t="n">
        <f aca="false">IF(E243&gt;0.5,1,0)</f>
        <v>0</v>
      </c>
      <c r="H243" s="4" t="str">
        <f aca="false">IF(G243=F243,"match","mismatch")</f>
        <v>match</v>
      </c>
    </row>
    <row r="244" customFormat="false" ht="15" hidden="false" customHeight="false" outlineLevel="0" collapsed="false">
      <c r="A244" s="8" t="s">
        <v>38</v>
      </c>
      <c r="B244" s="4" t="s">
        <v>39</v>
      </c>
      <c r="C244" s="4" t="n">
        <v>252</v>
      </c>
      <c r="D244" s="4" t="s">
        <v>36</v>
      </c>
      <c r="E244" s="9" t="n">
        <v>0.035</v>
      </c>
      <c r="F244" s="4" t="n">
        <v>0</v>
      </c>
      <c r="G244" s="4" t="n">
        <f aca="false">IF(E244&gt;0.5,1,0)</f>
        <v>0</v>
      </c>
      <c r="H244" s="4" t="str">
        <f aca="false">IF(G244=F244,"match","mismatch")</f>
        <v>match</v>
      </c>
    </row>
    <row r="245" customFormat="false" ht="15" hidden="false" customHeight="false" outlineLevel="0" collapsed="false">
      <c r="A245" s="8" t="s">
        <v>38</v>
      </c>
      <c r="B245" s="4" t="s">
        <v>39</v>
      </c>
      <c r="C245" s="4" t="n">
        <v>253</v>
      </c>
      <c r="D245" s="4" t="s">
        <v>25</v>
      </c>
      <c r="E245" s="9" t="n">
        <v>0.013</v>
      </c>
      <c r="F245" s="4" t="n">
        <v>0</v>
      </c>
      <c r="G245" s="4" t="n">
        <f aca="false">IF(E245&gt;0.5,1,0)</f>
        <v>0</v>
      </c>
      <c r="H245" s="4" t="str">
        <f aca="false">IF(G245=F245,"match","mismatch")</f>
        <v>match</v>
      </c>
    </row>
    <row r="246" customFormat="false" ht="15" hidden="false" customHeight="false" outlineLevel="0" collapsed="false">
      <c r="A246" s="8" t="s">
        <v>38</v>
      </c>
      <c r="B246" s="4" t="s">
        <v>39</v>
      </c>
      <c r="C246" s="4" t="n">
        <v>254</v>
      </c>
      <c r="D246" s="4" t="s">
        <v>41</v>
      </c>
      <c r="E246" s="9" t="n">
        <v>0.009</v>
      </c>
      <c r="F246" s="4" t="n">
        <v>0</v>
      </c>
      <c r="G246" s="4" t="n">
        <f aca="false">IF(E246&gt;0.5,1,0)</f>
        <v>0</v>
      </c>
      <c r="H246" s="4" t="str">
        <f aca="false">IF(G246=F246,"match","mismatch")</f>
        <v>match</v>
      </c>
    </row>
    <row r="247" customFormat="false" ht="15" hidden="false" customHeight="false" outlineLevel="0" collapsed="false">
      <c r="A247" s="8" t="s">
        <v>38</v>
      </c>
      <c r="B247" s="4" t="s">
        <v>39</v>
      </c>
      <c r="C247" s="4" t="n">
        <v>255</v>
      </c>
      <c r="D247" s="4" t="s">
        <v>29</v>
      </c>
      <c r="E247" s="9" t="n">
        <v>0.024</v>
      </c>
      <c r="F247" s="4" t="n">
        <v>0</v>
      </c>
      <c r="G247" s="4" t="n">
        <f aca="false">IF(E247&gt;0.5,1,0)</f>
        <v>0</v>
      </c>
      <c r="H247" s="4" t="str">
        <f aca="false">IF(G247=F247,"match","mismatch")</f>
        <v>match</v>
      </c>
    </row>
    <row r="248" customFormat="false" ht="15" hidden="false" customHeight="false" outlineLevel="0" collapsed="false">
      <c r="A248" s="8" t="s">
        <v>38</v>
      </c>
      <c r="B248" s="4" t="s">
        <v>39</v>
      </c>
      <c r="C248" s="4" t="n">
        <v>256</v>
      </c>
      <c r="D248" s="4" t="s">
        <v>26</v>
      </c>
      <c r="E248" s="9" t="n">
        <v>0.003</v>
      </c>
      <c r="F248" s="4" t="n">
        <v>0</v>
      </c>
      <c r="G248" s="4" t="n">
        <f aca="false">IF(E248&gt;0.5,1,0)</f>
        <v>0</v>
      </c>
      <c r="H248" s="4" t="str">
        <f aca="false">IF(G248=F248,"match","mismatch")</f>
        <v>match</v>
      </c>
    </row>
    <row r="249" customFormat="false" ht="15" hidden="false" customHeight="false" outlineLevel="0" collapsed="false">
      <c r="A249" s="8" t="s">
        <v>38</v>
      </c>
      <c r="B249" s="4" t="s">
        <v>39</v>
      </c>
      <c r="C249" s="4" t="n">
        <v>257</v>
      </c>
      <c r="D249" s="4" t="s">
        <v>27</v>
      </c>
      <c r="E249" s="9" t="n">
        <v>0.03</v>
      </c>
      <c r="F249" s="4" t="n">
        <v>0</v>
      </c>
      <c r="G249" s="4" t="n">
        <f aca="false">IF(E249&gt;0.5,1,0)</f>
        <v>0</v>
      </c>
      <c r="H249" s="4" t="str">
        <f aca="false">IF(G249=F249,"match","mismatch")</f>
        <v>match</v>
      </c>
    </row>
    <row r="250" customFormat="false" ht="15" hidden="false" customHeight="false" outlineLevel="0" collapsed="false">
      <c r="A250" s="8" t="s">
        <v>38</v>
      </c>
      <c r="B250" s="4" t="s">
        <v>39</v>
      </c>
      <c r="C250" s="4" t="n">
        <v>258</v>
      </c>
      <c r="D250" s="4" t="s">
        <v>24</v>
      </c>
      <c r="E250" s="9" t="n">
        <v>0.005</v>
      </c>
      <c r="F250" s="4" t="n">
        <v>0</v>
      </c>
      <c r="G250" s="4" t="n">
        <f aca="false">IF(E250&gt;0.5,1,0)</f>
        <v>0</v>
      </c>
      <c r="H250" s="4" t="str">
        <f aca="false">IF(G250=F250,"match","mismatch")</f>
        <v>match</v>
      </c>
    </row>
    <row r="251" customFormat="false" ht="15" hidden="false" customHeight="false" outlineLevel="0" collapsed="false">
      <c r="A251" s="8" t="s">
        <v>38</v>
      </c>
      <c r="B251" s="4" t="s">
        <v>39</v>
      </c>
      <c r="C251" s="4" t="n">
        <v>259</v>
      </c>
      <c r="D251" s="4" t="s">
        <v>33</v>
      </c>
      <c r="E251" s="9" t="n">
        <v>0.016</v>
      </c>
      <c r="F251" s="4" t="n">
        <v>0</v>
      </c>
      <c r="G251" s="4" t="n">
        <f aca="false">IF(E251&gt;0.5,1,0)</f>
        <v>0</v>
      </c>
      <c r="H251" s="4" t="str">
        <f aca="false">IF(G251=F251,"match","mismatch")</f>
        <v>match</v>
      </c>
    </row>
    <row r="252" customFormat="false" ht="15" hidden="false" customHeight="false" outlineLevel="0" collapsed="false">
      <c r="A252" s="8" t="s">
        <v>38</v>
      </c>
      <c r="B252" s="4" t="s">
        <v>39</v>
      </c>
      <c r="C252" s="4" t="n">
        <v>260</v>
      </c>
      <c r="D252" s="4" t="s">
        <v>28</v>
      </c>
      <c r="E252" s="9" t="n">
        <v>0.019</v>
      </c>
      <c r="F252" s="4" t="n">
        <v>0</v>
      </c>
      <c r="G252" s="4" t="n">
        <f aca="false">IF(E252&gt;0.5,1,0)</f>
        <v>0</v>
      </c>
      <c r="H252" s="4" t="str">
        <f aca="false">IF(G252=F252,"match","mismatch")</f>
        <v>match</v>
      </c>
    </row>
    <row r="253" customFormat="false" ht="15" hidden="false" customHeight="false" outlineLevel="0" collapsed="false">
      <c r="A253" s="8" t="s">
        <v>38</v>
      </c>
      <c r="B253" s="4" t="s">
        <v>39</v>
      </c>
      <c r="C253" s="4" t="n">
        <v>261</v>
      </c>
      <c r="D253" s="4" t="s">
        <v>33</v>
      </c>
      <c r="E253" s="9" t="n">
        <v>0.035</v>
      </c>
      <c r="F253" s="4" t="n">
        <v>0</v>
      </c>
      <c r="G253" s="4" t="n">
        <f aca="false">IF(E253&gt;0.5,1,0)</f>
        <v>0</v>
      </c>
      <c r="H253" s="4" t="str">
        <f aca="false">IF(G253=F253,"match","mismatch")</f>
        <v>match</v>
      </c>
    </row>
    <row r="254" customFormat="false" ht="15" hidden="false" customHeight="false" outlineLevel="0" collapsed="false">
      <c r="A254" s="8" t="s">
        <v>38</v>
      </c>
      <c r="B254" s="4" t="s">
        <v>39</v>
      </c>
      <c r="C254" s="4" t="n">
        <v>262</v>
      </c>
      <c r="D254" s="4" t="s">
        <v>29</v>
      </c>
      <c r="E254" s="9" t="n">
        <v>0.016</v>
      </c>
      <c r="F254" s="4" t="n">
        <v>0</v>
      </c>
      <c r="G254" s="4" t="n">
        <f aca="false">IF(E254&gt;0.5,1,0)</f>
        <v>0</v>
      </c>
      <c r="H254" s="4" t="str">
        <f aca="false">IF(G254=F254,"match","mismatch")</f>
        <v>match</v>
      </c>
    </row>
    <row r="255" customFormat="false" ht="15" hidden="false" customHeight="false" outlineLevel="0" collapsed="false">
      <c r="A255" s="8" t="s">
        <v>38</v>
      </c>
      <c r="B255" s="4" t="s">
        <v>39</v>
      </c>
      <c r="C255" s="4" t="n">
        <v>263</v>
      </c>
      <c r="D255" s="4" t="s">
        <v>27</v>
      </c>
      <c r="E255" s="9" t="n">
        <v>0.014</v>
      </c>
      <c r="F255" s="4" t="n">
        <v>0</v>
      </c>
      <c r="G255" s="4" t="n">
        <f aca="false">IF(E255&gt;0.5,1,0)</f>
        <v>0</v>
      </c>
      <c r="H255" s="4" t="str">
        <f aca="false">IF(G255=F255,"match","mismatch")</f>
        <v>match</v>
      </c>
    </row>
    <row r="256" customFormat="false" ht="15" hidden="false" customHeight="false" outlineLevel="0" collapsed="false">
      <c r="A256" s="8" t="s">
        <v>38</v>
      </c>
      <c r="B256" s="4" t="s">
        <v>39</v>
      </c>
      <c r="C256" s="4" t="n">
        <v>264</v>
      </c>
      <c r="D256" s="4" t="s">
        <v>29</v>
      </c>
      <c r="E256" s="9" t="n">
        <v>0.022</v>
      </c>
      <c r="F256" s="4" t="n">
        <v>0</v>
      </c>
      <c r="G256" s="4" t="n">
        <f aca="false">IF(E256&gt;0.5,1,0)</f>
        <v>0</v>
      </c>
      <c r="H256" s="4" t="str">
        <f aca="false">IF(G256=F256,"match","mismatch")</f>
        <v>match</v>
      </c>
    </row>
    <row r="257" customFormat="false" ht="15" hidden="false" customHeight="false" outlineLevel="0" collapsed="false">
      <c r="A257" s="8" t="s">
        <v>38</v>
      </c>
      <c r="B257" s="4" t="s">
        <v>39</v>
      </c>
      <c r="C257" s="4" t="n">
        <v>265</v>
      </c>
      <c r="D257" s="4" t="s">
        <v>29</v>
      </c>
      <c r="E257" s="9" t="n">
        <v>0.04</v>
      </c>
      <c r="F257" s="4" t="n">
        <v>0</v>
      </c>
      <c r="G257" s="4" t="n">
        <f aca="false">IF(E257&gt;0.5,1,0)</f>
        <v>0</v>
      </c>
      <c r="H257" s="4" t="str">
        <f aca="false">IF(G257=F257,"match","mismatch")</f>
        <v>match</v>
      </c>
    </row>
    <row r="258" customFormat="false" ht="15" hidden="false" customHeight="false" outlineLevel="0" collapsed="false">
      <c r="A258" s="8" t="s">
        <v>38</v>
      </c>
      <c r="B258" s="4" t="s">
        <v>39</v>
      </c>
      <c r="C258" s="4" t="n">
        <v>266</v>
      </c>
      <c r="D258" s="4" t="s">
        <v>36</v>
      </c>
      <c r="E258" s="9" t="n">
        <v>0.034</v>
      </c>
      <c r="F258" s="4" t="n">
        <v>0</v>
      </c>
      <c r="G258" s="4" t="n">
        <f aca="false">IF(E258&gt;0.5,1,0)</f>
        <v>0</v>
      </c>
      <c r="H258" s="4" t="str">
        <f aca="false">IF(G258=F258,"match","mismatch")</f>
        <v>match</v>
      </c>
    </row>
    <row r="259" customFormat="false" ht="15" hidden="false" customHeight="false" outlineLevel="0" collapsed="false">
      <c r="A259" s="8" t="s">
        <v>38</v>
      </c>
      <c r="B259" s="4" t="s">
        <v>39</v>
      </c>
      <c r="C259" s="4" t="n">
        <v>267</v>
      </c>
      <c r="D259" s="4" t="s">
        <v>31</v>
      </c>
      <c r="E259" s="9" t="n">
        <v>0.016</v>
      </c>
      <c r="F259" s="4" t="n">
        <v>0</v>
      </c>
      <c r="G259" s="4" t="n">
        <f aca="false">IF(E259&gt;0.5,1,0)</f>
        <v>0</v>
      </c>
      <c r="H259" s="4" t="str">
        <f aca="false">IF(G259=F259,"match","mismatch")</f>
        <v>match</v>
      </c>
    </row>
    <row r="260" customFormat="false" ht="15" hidden="false" customHeight="false" outlineLevel="0" collapsed="false">
      <c r="A260" s="8" t="s">
        <v>38</v>
      </c>
      <c r="B260" s="4" t="s">
        <v>39</v>
      </c>
      <c r="C260" s="4" t="n">
        <v>268</v>
      </c>
      <c r="D260" s="4" t="s">
        <v>23</v>
      </c>
      <c r="E260" s="9" t="n">
        <v>0.017</v>
      </c>
      <c r="F260" s="4" t="n">
        <v>0</v>
      </c>
      <c r="G260" s="4" t="n">
        <f aca="false">IF(E260&gt;0.5,1,0)</f>
        <v>0</v>
      </c>
      <c r="H260" s="4" t="str">
        <f aca="false">IF(G260=F260,"match","mismatch")</f>
        <v>match</v>
      </c>
    </row>
    <row r="261" customFormat="false" ht="15" hidden="false" customHeight="false" outlineLevel="0" collapsed="false">
      <c r="A261" s="8" t="s">
        <v>38</v>
      </c>
      <c r="B261" s="4" t="s">
        <v>39</v>
      </c>
      <c r="C261" s="4" t="n">
        <v>269</v>
      </c>
      <c r="D261" s="4" t="s">
        <v>24</v>
      </c>
      <c r="E261" s="9" t="n">
        <v>0.027</v>
      </c>
      <c r="F261" s="4" t="n">
        <v>0</v>
      </c>
      <c r="G261" s="4" t="n">
        <f aca="false">IF(E261&gt;0.5,1,0)</f>
        <v>0</v>
      </c>
      <c r="H261" s="4" t="str">
        <f aca="false">IF(G261=F261,"match","mismatch")</f>
        <v>match</v>
      </c>
    </row>
    <row r="262" customFormat="false" ht="15" hidden="false" customHeight="false" outlineLevel="0" collapsed="false">
      <c r="A262" s="8" t="s">
        <v>38</v>
      </c>
      <c r="B262" s="4" t="s">
        <v>39</v>
      </c>
      <c r="C262" s="4" t="n">
        <v>270</v>
      </c>
      <c r="D262" s="4" t="s">
        <v>28</v>
      </c>
      <c r="E262" s="9" t="n">
        <v>0.015</v>
      </c>
      <c r="F262" s="4" t="n">
        <v>0</v>
      </c>
      <c r="G262" s="4" t="n">
        <f aca="false">IF(E262&gt;0.5,1,0)</f>
        <v>0</v>
      </c>
      <c r="H262" s="4" t="str">
        <f aca="false">IF(G262=F262,"match","mismatch")</f>
        <v>match</v>
      </c>
    </row>
    <row r="263" customFormat="false" ht="15" hidden="false" customHeight="false" outlineLevel="0" collapsed="false">
      <c r="A263" s="8" t="s">
        <v>38</v>
      </c>
      <c r="B263" s="4" t="s">
        <v>39</v>
      </c>
      <c r="C263" s="4" t="n">
        <v>271</v>
      </c>
      <c r="D263" s="4" t="s">
        <v>27</v>
      </c>
      <c r="E263" s="9" t="n">
        <v>0.025</v>
      </c>
      <c r="F263" s="4" t="n">
        <v>0</v>
      </c>
      <c r="G263" s="4" t="n">
        <f aca="false">IF(E263&gt;0.5,1,0)</f>
        <v>0</v>
      </c>
      <c r="H263" s="4" t="str">
        <f aca="false">IF(G263=F263,"match","mismatch")</f>
        <v>match</v>
      </c>
    </row>
    <row r="264" customFormat="false" ht="15" hidden="false" customHeight="false" outlineLevel="0" collapsed="false">
      <c r="A264" s="8" t="s">
        <v>38</v>
      </c>
      <c r="B264" s="4" t="s">
        <v>39</v>
      </c>
      <c r="C264" s="4" t="n">
        <v>272</v>
      </c>
      <c r="D264" s="4" t="s">
        <v>26</v>
      </c>
      <c r="E264" s="9" t="n">
        <v>0.004</v>
      </c>
      <c r="F264" s="4" t="n">
        <v>0</v>
      </c>
      <c r="G264" s="4" t="n">
        <f aca="false">IF(E264&gt;0.5,1,0)</f>
        <v>0</v>
      </c>
      <c r="H264" s="4" t="str">
        <f aca="false">IF(G264=F264,"match","mismatch")</f>
        <v>match</v>
      </c>
    </row>
    <row r="265" customFormat="false" ht="15" hidden="false" customHeight="false" outlineLevel="0" collapsed="false">
      <c r="A265" s="8" t="s">
        <v>38</v>
      </c>
      <c r="B265" s="4" t="s">
        <v>39</v>
      </c>
      <c r="C265" s="4" t="n">
        <v>273</v>
      </c>
      <c r="D265" s="4" t="s">
        <v>35</v>
      </c>
      <c r="E265" s="9" t="n">
        <v>0.013</v>
      </c>
      <c r="F265" s="4" t="n">
        <v>0</v>
      </c>
      <c r="G265" s="4" t="n">
        <f aca="false">IF(E265&gt;0.5,1,0)</f>
        <v>0</v>
      </c>
      <c r="H265" s="4" t="str">
        <f aca="false">IF(G265=F265,"match","mismatch")</f>
        <v>match</v>
      </c>
    </row>
    <row r="266" customFormat="false" ht="15" hidden="false" customHeight="false" outlineLevel="0" collapsed="false">
      <c r="A266" s="8" t="s">
        <v>38</v>
      </c>
      <c r="B266" s="4" t="s">
        <v>39</v>
      </c>
      <c r="C266" s="4" t="n">
        <v>274</v>
      </c>
      <c r="D266" s="4" t="s">
        <v>30</v>
      </c>
      <c r="E266" s="9" t="n">
        <v>0.004</v>
      </c>
      <c r="F266" s="4" t="n">
        <v>0</v>
      </c>
      <c r="G266" s="4" t="n">
        <f aca="false">IF(E266&gt;0.5,1,0)</f>
        <v>0</v>
      </c>
      <c r="H266" s="4" t="str">
        <f aca="false">IF(G266=F266,"match","mismatch")</f>
        <v>match</v>
      </c>
    </row>
    <row r="267" customFormat="false" ht="15" hidden="false" customHeight="false" outlineLevel="0" collapsed="false">
      <c r="A267" s="8" t="s">
        <v>38</v>
      </c>
      <c r="B267" s="4" t="s">
        <v>39</v>
      </c>
      <c r="C267" s="4" t="n">
        <v>275</v>
      </c>
      <c r="D267" s="4" t="s">
        <v>26</v>
      </c>
      <c r="E267" s="9" t="n">
        <v>0.008</v>
      </c>
      <c r="F267" s="4" t="n">
        <v>0</v>
      </c>
      <c r="G267" s="4" t="n">
        <f aca="false">IF(E267&gt;0.5,1,0)</f>
        <v>0</v>
      </c>
      <c r="H267" s="4" t="str">
        <f aca="false">IF(G267=F267,"match","mismatch")</f>
        <v>match</v>
      </c>
    </row>
    <row r="268" customFormat="false" ht="15" hidden="false" customHeight="false" outlineLevel="0" collapsed="false">
      <c r="A268" s="8" t="s">
        <v>38</v>
      </c>
      <c r="B268" s="4" t="s">
        <v>39</v>
      </c>
      <c r="C268" s="4" t="n">
        <v>276</v>
      </c>
      <c r="D268" s="4" t="s">
        <v>28</v>
      </c>
      <c r="E268" s="9" t="n">
        <v>0.028</v>
      </c>
      <c r="F268" s="4" t="n">
        <v>0</v>
      </c>
      <c r="G268" s="4" t="n">
        <f aca="false">IF(E268&gt;0.5,1,0)</f>
        <v>0</v>
      </c>
      <c r="H268" s="4" t="str">
        <f aca="false">IF(G268=F268,"match","mismatch")</f>
        <v>match</v>
      </c>
    </row>
    <row r="269" customFormat="false" ht="15" hidden="false" customHeight="false" outlineLevel="0" collapsed="false">
      <c r="A269" s="8" t="s">
        <v>38</v>
      </c>
      <c r="B269" s="4" t="s">
        <v>39</v>
      </c>
      <c r="C269" s="4" t="n">
        <v>277</v>
      </c>
      <c r="D269" s="4" t="s">
        <v>31</v>
      </c>
      <c r="E269" s="9" t="n">
        <v>0.045</v>
      </c>
      <c r="F269" s="4" t="n">
        <v>0</v>
      </c>
      <c r="G269" s="4" t="n">
        <f aca="false">IF(E269&gt;0.5,1,0)</f>
        <v>0</v>
      </c>
      <c r="H269" s="4" t="str">
        <f aca="false">IF(G269=F269,"match","mismatch")</f>
        <v>match</v>
      </c>
    </row>
    <row r="270" customFormat="false" ht="15" hidden="false" customHeight="false" outlineLevel="0" collapsed="false">
      <c r="A270" s="8" t="s">
        <v>38</v>
      </c>
      <c r="B270" s="4" t="s">
        <v>39</v>
      </c>
      <c r="C270" s="4" t="n">
        <v>278</v>
      </c>
      <c r="D270" s="4" t="s">
        <v>33</v>
      </c>
      <c r="E270" s="9" t="n">
        <v>0.058</v>
      </c>
      <c r="F270" s="4" t="n">
        <v>0</v>
      </c>
      <c r="G270" s="4" t="n">
        <f aca="false">IF(E270&gt;0.5,1,0)</f>
        <v>0</v>
      </c>
      <c r="H270" s="4" t="str">
        <f aca="false">IF(G270=F270,"match","mismatch")</f>
        <v>match</v>
      </c>
    </row>
    <row r="271" customFormat="false" ht="15" hidden="false" customHeight="false" outlineLevel="0" collapsed="false">
      <c r="A271" s="8" t="s">
        <v>38</v>
      </c>
      <c r="B271" s="4" t="s">
        <v>39</v>
      </c>
      <c r="C271" s="4" t="n">
        <v>293</v>
      </c>
      <c r="D271" s="4" t="s">
        <v>44</v>
      </c>
      <c r="E271" s="9" t="n">
        <v>0.031</v>
      </c>
      <c r="F271" s="4" t="n">
        <v>0</v>
      </c>
      <c r="G271" s="4" t="n">
        <f aca="false">IF(E271&gt;0.5,1,0)</f>
        <v>0</v>
      </c>
      <c r="H271" s="4" t="str">
        <f aca="false">IF(G271=F271,"match","mismatch")</f>
        <v>match</v>
      </c>
    </row>
    <row r="272" customFormat="false" ht="15" hidden="false" customHeight="false" outlineLevel="0" collapsed="false">
      <c r="A272" s="8" t="s">
        <v>38</v>
      </c>
      <c r="B272" s="4" t="s">
        <v>39</v>
      </c>
      <c r="C272" s="4" t="n">
        <v>294</v>
      </c>
      <c r="D272" s="4" t="s">
        <v>26</v>
      </c>
      <c r="E272" s="9" t="n">
        <v>0.012</v>
      </c>
      <c r="F272" s="4" t="n">
        <v>0</v>
      </c>
      <c r="G272" s="4" t="n">
        <f aca="false">IF(E272&gt;0.5,1,0)</f>
        <v>0</v>
      </c>
      <c r="H272" s="4" t="str">
        <f aca="false">IF(G272=F272,"match","mismatch")</f>
        <v>match</v>
      </c>
    </row>
    <row r="273" customFormat="false" ht="15" hidden="false" customHeight="false" outlineLevel="0" collapsed="false">
      <c r="A273" s="8" t="s">
        <v>38</v>
      </c>
      <c r="B273" s="4" t="s">
        <v>39</v>
      </c>
      <c r="C273" s="4" t="n">
        <v>295</v>
      </c>
      <c r="D273" s="4" t="s">
        <v>23</v>
      </c>
      <c r="E273" s="9" t="n">
        <v>0.031</v>
      </c>
      <c r="F273" s="4" t="n">
        <v>0</v>
      </c>
      <c r="G273" s="4" t="n">
        <f aca="false">IF(E273&gt;0.5,1,0)</f>
        <v>0</v>
      </c>
      <c r="H273" s="4" t="str">
        <f aca="false">IF(G273=F273,"match","mismatch")</f>
        <v>match</v>
      </c>
    </row>
    <row r="274" customFormat="false" ht="15" hidden="false" customHeight="false" outlineLevel="0" collapsed="false">
      <c r="A274" s="8" t="s">
        <v>38</v>
      </c>
      <c r="B274" s="4" t="s">
        <v>39</v>
      </c>
      <c r="C274" s="4" t="n">
        <v>296</v>
      </c>
      <c r="D274" s="4" t="s">
        <v>27</v>
      </c>
      <c r="E274" s="9" t="n">
        <v>0.036</v>
      </c>
      <c r="F274" s="4" t="n">
        <v>0</v>
      </c>
      <c r="G274" s="4" t="n">
        <f aca="false">IF(E274&gt;0.5,1,0)</f>
        <v>0</v>
      </c>
      <c r="H274" s="4" t="str">
        <f aca="false">IF(G274=F274,"match","mismatch")</f>
        <v>match</v>
      </c>
    </row>
    <row r="275" customFormat="false" ht="15" hidden="false" customHeight="false" outlineLevel="0" collapsed="false">
      <c r="A275" s="8" t="s">
        <v>38</v>
      </c>
      <c r="B275" s="4" t="s">
        <v>39</v>
      </c>
      <c r="C275" s="4" t="n">
        <v>297</v>
      </c>
      <c r="D275" s="4" t="s">
        <v>26</v>
      </c>
      <c r="E275" s="9" t="n">
        <v>0.059</v>
      </c>
      <c r="F275" s="4" t="n">
        <v>0</v>
      </c>
      <c r="G275" s="4" t="n">
        <f aca="false">IF(E275&gt;0.5,1,0)</f>
        <v>0</v>
      </c>
      <c r="H275" s="4" t="str">
        <f aca="false">IF(G275=F275,"match","mismatch")</f>
        <v>match</v>
      </c>
    </row>
    <row r="276" customFormat="false" ht="15" hidden="false" customHeight="false" outlineLevel="0" collapsed="false">
      <c r="A276" s="8" t="s">
        <v>38</v>
      </c>
      <c r="B276" s="4" t="s">
        <v>39</v>
      </c>
      <c r="C276" s="4" t="n">
        <v>298</v>
      </c>
      <c r="D276" s="4" t="s">
        <v>27</v>
      </c>
      <c r="E276" s="9" t="n">
        <v>0.064</v>
      </c>
      <c r="F276" s="4" t="n">
        <v>0</v>
      </c>
      <c r="G276" s="4" t="n">
        <f aca="false">IF(E276&gt;0.5,1,0)</f>
        <v>0</v>
      </c>
      <c r="H276" s="4" t="str">
        <f aca="false">IF(G276=F276,"match","mismatch")</f>
        <v>match</v>
      </c>
    </row>
    <row r="277" customFormat="false" ht="15" hidden="false" customHeight="false" outlineLevel="0" collapsed="false">
      <c r="A277" s="8" t="s">
        <v>38</v>
      </c>
      <c r="B277" s="4" t="s">
        <v>39</v>
      </c>
      <c r="C277" s="4" t="n">
        <v>299</v>
      </c>
      <c r="D277" s="4" t="s">
        <v>29</v>
      </c>
      <c r="E277" s="9" t="n">
        <v>0.093</v>
      </c>
      <c r="F277" s="4" t="n">
        <v>0</v>
      </c>
      <c r="G277" s="4" t="n">
        <f aca="false">IF(E277&gt;0.5,1,0)</f>
        <v>0</v>
      </c>
      <c r="H277" s="4" t="str">
        <f aca="false">IF(G277=F277,"match","mismatch")</f>
        <v>match</v>
      </c>
    </row>
    <row r="278" customFormat="false" ht="15" hidden="false" customHeight="false" outlineLevel="0" collapsed="false">
      <c r="A278" s="8" t="s">
        <v>38</v>
      </c>
      <c r="B278" s="4" t="s">
        <v>39</v>
      </c>
      <c r="C278" s="4" t="n">
        <v>300</v>
      </c>
      <c r="D278" s="4" t="s">
        <v>31</v>
      </c>
      <c r="E278" s="9" t="n">
        <v>0.039</v>
      </c>
      <c r="F278" s="4" t="n">
        <v>0</v>
      </c>
      <c r="G278" s="4" t="n">
        <f aca="false">IF(E278&gt;0.5,1,0)</f>
        <v>0</v>
      </c>
      <c r="H278" s="4" t="str">
        <f aca="false">IF(G278=F278,"match","mismatch")</f>
        <v>match</v>
      </c>
    </row>
    <row r="279" customFormat="false" ht="15" hidden="false" customHeight="false" outlineLevel="0" collapsed="false">
      <c r="A279" s="8" t="s">
        <v>38</v>
      </c>
      <c r="B279" s="4" t="s">
        <v>39</v>
      </c>
      <c r="C279" s="4" t="n">
        <v>301</v>
      </c>
      <c r="D279" s="4" t="s">
        <v>33</v>
      </c>
      <c r="E279" s="9" t="n">
        <v>0.074</v>
      </c>
      <c r="F279" s="4" t="n">
        <v>0</v>
      </c>
      <c r="G279" s="4" t="n">
        <f aca="false">IF(E279&gt;0.5,1,0)</f>
        <v>0</v>
      </c>
      <c r="H279" s="4" t="str">
        <f aca="false">IF(G279=F279,"match","mismatch")</f>
        <v>match</v>
      </c>
    </row>
    <row r="280" customFormat="false" ht="15" hidden="false" customHeight="false" outlineLevel="0" collapsed="false">
      <c r="A280" s="8" t="s">
        <v>38</v>
      </c>
      <c r="B280" s="4" t="s">
        <v>39</v>
      </c>
      <c r="C280" s="4" t="n">
        <v>302</v>
      </c>
      <c r="D280" s="4" t="s">
        <v>33</v>
      </c>
      <c r="E280" s="9" t="n">
        <v>0.181</v>
      </c>
      <c r="F280" s="4" t="n">
        <v>0</v>
      </c>
      <c r="G280" s="4" t="n">
        <f aca="false">IF(E280&gt;0.5,1,0)</f>
        <v>0</v>
      </c>
      <c r="H280" s="4" t="str">
        <f aca="false">IF(G280=F280,"match","mismatch")</f>
        <v>match</v>
      </c>
    </row>
    <row r="281" customFormat="false" ht="15" hidden="false" customHeight="false" outlineLevel="0" collapsed="false">
      <c r="A281" s="8" t="s">
        <v>38</v>
      </c>
      <c r="B281" s="4" t="s">
        <v>39</v>
      </c>
      <c r="C281" s="4" t="n">
        <v>303</v>
      </c>
      <c r="D281" s="4" t="s">
        <v>29</v>
      </c>
      <c r="E281" s="9" t="n">
        <v>0.123</v>
      </c>
      <c r="F281" s="4" t="n">
        <v>0</v>
      </c>
      <c r="G281" s="4" t="n">
        <f aca="false">IF(E281&gt;0.5,1,0)</f>
        <v>0</v>
      </c>
      <c r="H281" s="4" t="str">
        <f aca="false">IF(G281=F281,"match","mismatch")</f>
        <v>match</v>
      </c>
    </row>
    <row r="282" customFormat="false" ht="15" hidden="false" customHeight="false" outlineLevel="0" collapsed="false">
      <c r="A282" s="8" t="s">
        <v>38</v>
      </c>
      <c r="B282" s="4" t="s">
        <v>39</v>
      </c>
      <c r="C282" s="4" t="n">
        <v>304</v>
      </c>
      <c r="D282" s="4" t="s">
        <v>29</v>
      </c>
      <c r="E282" s="9" t="n">
        <v>0.051</v>
      </c>
      <c r="F282" s="4" t="n">
        <v>0</v>
      </c>
      <c r="G282" s="4" t="n">
        <f aca="false">IF(E282&gt;0.5,1,0)</f>
        <v>0</v>
      </c>
      <c r="H282" s="4" t="str">
        <f aca="false">IF(G282=F282,"match","mismatch")</f>
        <v>match</v>
      </c>
    </row>
    <row r="283" customFormat="false" ht="15" hidden="false" customHeight="false" outlineLevel="0" collapsed="false">
      <c r="A283" s="8" t="s">
        <v>38</v>
      </c>
      <c r="B283" s="4" t="s">
        <v>39</v>
      </c>
      <c r="C283" s="4" t="n">
        <v>305</v>
      </c>
      <c r="D283" s="4" t="s">
        <v>37</v>
      </c>
      <c r="E283" s="9" t="n">
        <v>0.072</v>
      </c>
      <c r="F283" s="4" t="n">
        <v>0</v>
      </c>
      <c r="G283" s="4" t="n">
        <f aca="false">IF(E283&gt;0.5,1,0)</f>
        <v>0</v>
      </c>
      <c r="H283" s="4" t="str">
        <f aca="false">IF(G283=F283,"match","mismatch")</f>
        <v>match</v>
      </c>
    </row>
    <row r="284" customFormat="false" ht="15" hidden="false" customHeight="false" outlineLevel="0" collapsed="false">
      <c r="A284" s="8" t="s">
        <v>38</v>
      </c>
      <c r="B284" s="4" t="s">
        <v>39</v>
      </c>
      <c r="C284" s="4" t="n">
        <v>306</v>
      </c>
      <c r="D284" s="4" t="s">
        <v>28</v>
      </c>
      <c r="E284" s="9" t="n">
        <v>0.065</v>
      </c>
      <c r="F284" s="4" t="n">
        <v>0</v>
      </c>
      <c r="G284" s="4" t="n">
        <f aca="false">IF(E284&gt;0.5,1,0)</f>
        <v>0</v>
      </c>
      <c r="H284" s="4" t="str">
        <f aca="false">IF(G284=F284,"match","mismatch")</f>
        <v>match</v>
      </c>
    </row>
    <row r="285" customFormat="false" ht="15" hidden="false" customHeight="false" outlineLevel="0" collapsed="false">
      <c r="A285" s="8" t="s">
        <v>38</v>
      </c>
      <c r="B285" s="4" t="s">
        <v>39</v>
      </c>
      <c r="C285" s="4" t="n">
        <v>307</v>
      </c>
      <c r="D285" s="4" t="s">
        <v>46</v>
      </c>
      <c r="E285" s="9" t="n">
        <v>0.03</v>
      </c>
      <c r="F285" s="4" t="n">
        <v>0</v>
      </c>
      <c r="G285" s="4" t="n">
        <f aca="false">IF(E285&gt;0.5,1,0)</f>
        <v>0</v>
      </c>
      <c r="H285" s="4" t="str">
        <f aca="false">IF(G285=F285,"match","mismatch")</f>
        <v>match</v>
      </c>
    </row>
    <row r="286" customFormat="false" ht="15" hidden="false" customHeight="false" outlineLevel="0" collapsed="false">
      <c r="A286" s="8" t="s">
        <v>38</v>
      </c>
      <c r="B286" s="4" t="s">
        <v>39</v>
      </c>
      <c r="C286" s="4" t="n">
        <v>308</v>
      </c>
      <c r="D286" s="4" t="s">
        <v>40</v>
      </c>
      <c r="E286" s="9" t="n">
        <v>0.043</v>
      </c>
      <c r="F286" s="4" t="n">
        <v>0</v>
      </c>
      <c r="G286" s="4" t="n">
        <f aca="false">IF(E286&gt;0.5,1,0)</f>
        <v>0</v>
      </c>
      <c r="H286" s="4" t="str">
        <f aca="false">IF(G286=F286,"match","mismatch")</f>
        <v>match</v>
      </c>
    </row>
    <row r="287" customFormat="false" ht="15" hidden="false" customHeight="false" outlineLevel="0" collapsed="false">
      <c r="A287" s="8" t="s">
        <v>38</v>
      </c>
      <c r="B287" s="4" t="s">
        <v>39</v>
      </c>
      <c r="C287" s="4" t="n">
        <v>309</v>
      </c>
      <c r="D287" s="4" t="s">
        <v>41</v>
      </c>
      <c r="E287" s="9" t="n">
        <v>0.094</v>
      </c>
      <c r="F287" s="4" t="n">
        <v>0</v>
      </c>
      <c r="G287" s="4" t="n">
        <f aca="false">IF(E287&gt;0.5,1,0)</f>
        <v>0</v>
      </c>
      <c r="H287" s="4" t="str">
        <f aca="false">IF(G287=F287,"match","mismatch")</f>
        <v>match</v>
      </c>
    </row>
    <row r="288" customFormat="false" ht="15" hidden="false" customHeight="false" outlineLevel="0" collapsed="false">
      <c r="A288" s="8" t="s">
        <v>38</v>
      </c>
      <c r="B288" s="4" t="s">
        <v>39</v>
      </c>
      <c r="C288" s="4" t="n">
        <v>310</v>
      </c>
      <c r="D288" s="4" t="s">
        <v>37</v>
      </c>
      <c r="E288" s="9" t="n">
        <v>0.101</v>
      </c>
      <c r="F288" s="4" t="n">
        <v>0</v>
      </c>
      <c r="G288" s="4" t="n">
        <f aca="false">IF(E288&gt;0.5,1,0)</f>
        <v>0</v>
      </c>
      <c r="H288" s="4" t="str">
        <f aca="false">IF(G288=F288,"match","mismatch")</f>
        <v>match</v>
      </c>
    </row>
    <row r="289" customFormat="false" ht="15" hidden="false" customHeight="false" outlineLevel="0" collapsed="false">
      <c r="A289" s="8" t="s">
        <v>38</v>
      </c>
      <c r="B289" s="4" t="s">
        <v>39</v>
      </c>
      <c r="C289" s="4" t="n">
        <v>311</v>
      </c>
      <c r="D289" s="4" t="s">
        <v>32</v>
      </c>
      <c r="E289" s="9" t="n">
        <v>0.016</v>
      </c>
      <c r="F289" s="4" t="n">
        <v>0</v>
      </c>
      <c r="G289" s="4" t="n">
        <f aca="false">IF(E289&gt;0.5,1,0)</f>
        <v>0</v>
      </c>
      <c r="H289" s="4" t="str">
        <f aca="false">IF(G289=F289,"match","mismatch")</f>
        <v>match</v>
      </c>
    </row>
    <row r="290" customFormat="false" ht="15" hidden="false" customHeight="false" outlineLevel="0" collapsed="false">
      <c r="A290" s="8" t="s">
        <v>38</v>
      </c>
      <c r="B290" s="4" t="s">
        <v>39</v>
      </c>
      <c r="C290" s="4" t="n">
        <v>312</v>
      </c>
      <c r="D290" s="4" t="s">
        <v>32</v>
      </c>
      <c r="E290" s="9" t="n">
        <v>0.019</v>
      </c>
      <c r="F290" s="4" t="n">
        <v>0</v>
      </c>
      <c r="G290" s="4" t="n">
        <f aca="false">IF(E290&gt;0.5,1,0)</f>
        <v>0</v>
      </c>
      <c r="H290" s="4" t="str">
        <f aca="false">IF(G290=F290,"match","mismatch")</f>
        <v>match</v>
      </c>
    </row>
    <row r="291" customFormat="false" ht="15" hidden="false" customHeight="false" outlineLevel="0" collapsed="false">
      <c r="A291" s="8" t="s">
        <v>38</v>
      </c>
      <c r="B291" s="4" t="s">
        <v>39</v>
      </c>
      <c r="C291" s="4" t="n">
        <v>313</v>
      </c>
      <c r="D291" s="4" t="s">
        <v>24</v>
      </c>
      <c r="E291" s="9" t="n">
        <v>0.094</v>
      </c>
      <c r="F291" s="4" t="n">
        <v>0</v>
      </c>
      <c r="G291" s="4" t="n">
        <f aca="false">IF(E291&gt;0.5,1,0)</f>
        <v>0</v>
      </c>
      <c r="H291" s="4" t="str">
        <f aca="false">IF(G291=F291,"match","mismatch")</f>
        <v>match</v>
      </c>
    </row>
    <row r="292" customFormat="false" ht="15" hidden="false" customHeight="false" outlineLevel="0" collapsed="false">
      <c r="A292" s="8" t="s">
        <v>38</v>
      </c>
      <c r="B292" s="4" t="s">
        <v>39</v>
      </c>
      <c r="C292" s="4" t="n">
        <v>314</v>
      </c>
      <c r="D292" s="4" t="s">
        <v>35</v>
      </c>
      <c r="E292" s="9" t="n">
        <v>0.045</v>
      </c>
      <c r="F292" s="4" t="n">
        <v>0</v>
      </c>
      <c r="G292" s="4" t="n">
        <f aca="false">IF(E292&gt;0.5,1,0)</f>
        <v>0</v>
      </c>
      <c r="H292" s="4" t="str">
        <f aca="false">IF(G292=F292,"match","mismatch")</f>
        <v>match</v>
      </c>
    </row>
    <row r="293" customFormat="false" ht="15" hidden="false" customHeight="false" outlineLevel="0" collapsed="false">
      <c r="A293" s="8" t="s">
        <v>38</v>
      </c>
      <c r="B293" s="4" t="s">
        <v>39</v>
      </c>
      <c r="C293" s="4" t="n">
        <v>315</v>
      </c>
      <c r="D293" s="4" t="s">
        <v>29</v>
      </c>
      <c r="E293" s="9" t="n">
        <v>0.01</v>
      </c>
      <c r="F293" s="4" t="n">
        <v>0</v>
      </c>
      <c r="G293" s="4" t="n">
        <f aca="false">IF(E293&gt;0.5,1,0)</f>
        <v>0</v>
      </c>
      <c r="H293" s="4" t="str">
        <f aca="false">IF(G293=F293,"match","mismatch")</f>
        <v>match</v>
      </c>
    </row>
    <row r="294" customFormat="false" ht="15" hidden="false" customHeight="false" outlineLevel="0" collapsed="false">
      <c r="A294" s="8" t="s">
        <v>38</v>
      </c>
      <c r="B294" s="4" t="s">
        <v>39</v>
      </c>
      <c r="C294" s="4" t="n">
        <v>316</v>
      </c>
      <c r="D294" s="4" t="s">
        <v>33</v>
      </c>
      <c r="E294" s="9" t="n">
        <v>0.009</v>
      </c>
      <c r="F294" s="4" t="n">
        <v>0</v>
      </c>
      <c r="G294" s="4" t="n">
        <f aca="false">IF(E294&gt;0.5,1,0)</f>
        <v>0</v>
      </c>
      <c r="H294" s="4" t="str">
        <f aca="false">IF(G294=F294,"match","mismatch")</f>
        <v>match</v>
      </c>
    </row>
    <row r="295" customFormat="false" ht="15" hidden="false" customHeight="false" outlineLevel="0" collapsed="false">
      <c r="A295" s="8" t="s">
        <v>38</v>
      </c>
      <c r="B295" s="4" t="s">
        <v>39</v>
      </c>
      <c r="C295" s="4" t="n">
        <v>317</v>
      </c>
      <c r="D295" s="4" t="s">
        <v>29</v>
      </c>
      <c r="E295" s="9" t="n">
        <v>0.098</v>
      </c>
      <c r="F295" s="4" t="n">
        <v>0</v>
      </c>
      <c r="G295" s="4" t="n">
        <f aca="false">IF(E295&gt;0.5,1,0)</f>
        <v>0</v>
      </c>
      <c r="H295" s="4" t="str">
        <f aca="false">IF(G295=F295,"match","mismatch")</f>
        <v>match</v>
      </c>
    </row>
    <row r="296" customFormat="false" ht="15" hidden="false" customHeight="false" outlineLevel="0" collapsed="false">
      <c r="A296" s="8" t="s">
        <v>38</v>
      </c>
      <c r="B296" s="4" t="s">
        <v>39</v>
      </c>
      <c r="C296" s="4" t="n">
        <v>318</v>
      </c>
      <c r="D296" s="4" t="s">
        <v>40</v>
      </c>
      <c r="E296" s="9" t="n">
        <v>0.188</v>
      </c>
      <c r="F296" s="4" t="n">
        <v>0</v>
      </c>
      <c r="G296" s="4" t="n">
        <f aca="false">IF(E296&gt;0.5,1,0)</f>
        <v>0</v>
      </c>
      <c r="H296" s="4" t="str">
        <f aca="false">IF(G296=F296,"match","mismatch")</f>
        <v>match</v>
      </c>
    </row>
    <row r="297" customFormat="false" ht="15" hidden="false" customHeight="false" outlineLevel="0" collapsed="false">
      <c r="A297" s="8" t="s">
        <v>38</v>
      </c>
      <c r="B297" s="4" t="s">
        <v>39</v>
      </c>
      <c r="C297" s="4" t="n">
        <v>319</v>
      </c>
      <c r="D297" s="4" t="s">
        <v>23</v>
      </c>
      <c r="E297" s="9" t="n">
        <v>0.004</v>
      </c>
      <c r="F297" s="4" t="n">
        <v>0</v>
      </c>
      <c r="G297" s="4" t="n">
        <f aca="false">IF(E297&gt;0.5,1,0)</f>
        <v>0</v>
      </c>
      <c r="H297" s="4" t="str">
        <f aca="false">IF(G297=F297,"match","mismatch")</f>
        <v>match</v>
      </c>
    </row>
    <row r="298" customFormat="false" ht="15" hidden="false" customHeight="false" outlineLevel="0" collapsed="false">
      <c r="A298" s="8" t="s">
        <v>38</v>
      </c>
      <c r="B298" s="4" t="s">
        <v>39</v>
      </c>
      <c r="C298" s="4" t="n">
        <v>320</v>
      </c>
      <c r="D298" s="4" t="s">
        <v>33</v>
      </c>
      <c r="E298" s="9" t="n">
        <v>0.016</v>
      </c>
      <c r="F298" s="4" t="n">
        <v>0</v>
      </c>
      <c r="G298" s="4" t="n">
        <f aca="false">IF(E298&gt;0.5,1,0)</f>
        <v>0</v>
      </c>
      <c r="H298" s="4" t="str">
        <f aca="false">IF(G298=F298,"match","mismatch")</f>
        <v>match</v>
      </c>
    </row>
    <row r="299" customFormat="false" ht="15" hidden="false" customHeight="false" outlineLevel="0" collapsed="false">
      <c r="A299" s="8" t="s">
        <v>38</v>
      </c>
      <c r="B299" s="4" t="s">
        <v>39</v>
      </c>
      <c r="C299" s="4" t="n">
        <v>321</v>
      </c>
      <c r="D299" s="4" t="s">
        <v>31</v>
      </c>
      <c r="E299" s="9" t="n">
        <v>0.013</v>
      </c>
      <c r="F299" s="4" t="n">
        <v>0</v>
      </c>
      <c r="G299" s="4" t="n">
        <f aca="false">IF(E299&gt;0.5,1,0)</f>
        <v>0</v>
      </c>
      <c r="H299" s="4" t="str">
        <f aca="false">IF(G299=F299,"match","mismatch")</f>
        <v>match</v>
      </c>
    </row>
    <row r="300" customFormat="false" ht="15" hidden="false" customHeight="false" outlineLevel="0" collapsed="false">
      <c r="A300" s="8" t="s">
        <v>38</v>
      </c>
      <c r="B300" s="4" t="s">
        <v>39</v>
      </c>
      <c r="C300" s="4" t="n">
        <v>322</v>
      </c>
      <c r="D300" s="4" t="s">
        <v>33</v>
      </c>
      <c r="E300" s="9" t="n">
        <v>0.069</v>
      </c>
      <c r="F300" s="4" t="n">
        <v>0</v>
      </c>
      <c r="G300" s="4" t="n">
        <f aca="false">IF(E300&gt;0.5,1,0)</f>
        <v>0</v>
      </c>
      <c r="H300" s="4" t="str">
        <f aca="false">IF(G300=F300,"match","mismatch")</f>
        <v>match</v>
      </c>
    </row>
    <row r="301" customFormat="false" ht="15" hidden="false" customHeight="false" outlineLevel="0" collapsed="false">
      <c r="A301" s="8" t="s">
        <v>38</v>
      </c>
      <c r="B301" s="4" t="s">
        <v>39</v>
      </c>
      <c r="C301" s="4" t="n">
        <v>323</v>
      </c>
      <c r="D301" s="4" t="s">
        <v>27</v>
      </c>
      <c r="E301" s="9" t="n">
        <v>0.033</v>
      </c>
      <c r="F301" s="4" t="n">
        <v>0</v>
      </c>
      <c r="G301" s="4" t="n">
        <f aca="false">IF(E301&gt;0.5,1,0)</f>
        <v>0</v>
      </c>
      <c r="H301" s="4" t="str">
        <f aca="false">IF(G301=F301,"match","mismatch")</f>
        <v>match</v>
      </c>
    </row>
    <row r="302" customFormat="false" ht="15" hidden="false" customHeight="false" outlineLevel="0" collapsed="false">
      <c r="A302" s="8" t="s">
        <v>38</v>
      </c>
      <c r="B302" s="4" t="s">
        <v>39</v>
      </c>
      <c r="C302" s="4" t="n">
        <v>324</v>
      </c>
      <c r="D302" s="4" t="s">
        <v>29</v>
      </c>
      <c r="E302" s="9" t="n">
        <v>0.026</v>
      </c>
      <c r="F302" s="4" t="n">
        <v>0</v>
      </c>
      <c r="G302" s="4" t="n">
        <f aca="false">IF(E302&gt;0.5,1,0)</f>
        <v>0</v>
      </c>
      <c r="H302" s="4" t="str">
        <f aca="false">IF(G302=F302,"match","mismatch")</f>
        <v>match</v>
      </c>
    </row>
    <row r="303" customFormat="false" ht="15" hidden="false" customHeight="false" outlineLevel="0" collapsed="false">
      <c r="A303" s="8" t="s">
        <v>38</v>
      </c>
      <c r="B303" s="4" t="s">
        <v>39</v>
      </c>
      <c r="C303" s="4" t="n">
        <v>325</v>
      </c>
      <c r="D303" s="4" t="s">
        <v>25</v>
      </c>
      <c r="E303" s="9" t="n">
        <v>0.034</v>
      </c>
      <c r="F303" s="4" t="n">
        <v>0</v>
      </c>
      <c r="G303" s="4" t="n">
        <f aca="false">IF(E303&gt;0.5,1,0)</f>
        <v>0</v>
      </c>
      <c r="H303" s="4" t="str">
        <f aca="false">IF(G303=F303,"match","mismatch")</f>
        <v>match</v>
      </c>
    </row>
    <row r="304" customFormat="false" ht="15" hidden="false" customHeight="false" outlineLevel="0" collapsed="false">
      <c r="A304" s="8" t="s">
        <v>38</v>
      </c>
      <c r="B304" s="4" t="s">
        <v>39</v>
      </c>
      <c r="C304" s="4" t="n">
        <v>326</v>
      </c>
      <c r="D304" s="4" t="s">
        <v>40</v>
      </c>
      <c r="E304" s="9" t="n">
        <v>0.009</v>
      </c>
      <c r="F304" s="4" t="n">
        <v>0</v>
      </c>
      <c r="G304" s="4" t="n">
        <f aca="false">IF(E304&gt;0.5,1,0)</f>
        <v>0</v>
      </c>
      <c r="H304" s="4" t="str">
        <f aca="false">IF(G304=F304,"match","mismatch")</f>
        <v>match</v>
      </c>
    </row>
    <row r="305" customFormat="false" ht="15" hidden="false" customHeight="false" outlineLevel="0" collapsed="false">
      <c r="A305" s="8" t="s">
        <v>38</v>
      </c>
      <c r="B305" s="4" t="s">
        <v>39</v>
      </c>
      <c r="C305" s="4" t="n">
        <v>327</v>
      </c>
      <c r="D305" s="4" t="s">
        <v>27</v>
      </c>
      <c r="E305" s="9" t="n">
        <v>0.005</v>
      </c>
      <c r="F305" s="4" t="n">
        <v>0</v>
      </c>
      <c r="G305" s="4" t="n">
        <f aca="false">IF(E305&gt;0.5,1,0)</f>
        <v>0</v>
      </c>
      <c r="H305" s="4" t="str">
        <f aca="false">IF(G305=F305,"match","mismatch")</f>
        <v>match</v>
      </c>
    </row>
    <row r="306" customFormat="false" ht="15" hidden="false" customHeight="false" outlineLevel="0" collapsed="false">
      <c r="A306" s="8" t="s">
        <v>38</v>
      </c>
      <c r="B306" s="4" t="s">
        <v>39</v>
      </c>
      <c r="C306" s="4" t="n">
        <v>328</v>
      </c>
      <c r="D306" s="4" t="s">
        <v>27</v>
      </c>
      <c r="E306" s="9" t="n">
        <v>0.006</v>
      </c>
      <c r="F306" s="4" t="n">
        <v>0</v>
      </c>
      <c r="G306" s="4" t="n">
        <f aca="false">IF(E306&gt;0.5,1,0)</f>
        <v>0</v>
      </c>
      <c r="H306" s="4" t="str">
        <f aca="false">IF(G306=F306,"match","mismatch")</f>
        <v>match</v>
      </c>
    </row>
    <row r="307" customFormat="false" ht="15" hidden="false" customHeight="false" outlineLevel="0" collapsed="false">
      <c r="A307" s="8" t="s">
        <v>38</v>
      </c>
      <c r="B307" s="4" t="s">
        <v>39</v>
      </c>
      <c r="C307" s="4" t="n">
        <v>329</v>
      </c>
      <c r="D307" s="4" t="s">
        <v>37</v>
      </c>
      <c r="E307" s="9" t="n">
        <v>0.037</v>
      </c>
      <c r="F307" s="4" t="n">
        <v>0</v>
      </c>
      <c r="G307" s="4" t="n">
        <f aca="false">IF(E307&gt;0.5,1,0)</f>
        <v>0</v>
      </c>
      <c r="H307" s="4" t="str">
        <f aca="false">IF(G307=F307,"match","mismatch")</f>
        <v>match</v>
      </c>
    </row>
    <row r="308" customFormat="false" ht="15" hidden="false" customHeight="false" outlineLevel="0" collapsed="false">
      <c r="A308" s="8" t="s">
        <v>38</v>
      </c>
      <c r="B308" s="4" t="s">
        <v>39</v>
      </c>
      <c r="C308" s="4" t="n">
        <v>330</v>
      </c>
      <c r="D308" s="4" t="s">
        <v>42</v>
      </c>
      <c r="E308" s="9" t="n">
        <v>0.011</v>
      </c>
      <c r="F308" s="4" t="n">
        <v>0</v>
      </c>
      <c r="G308" s="4" t="n">
        <f aca="false">IF(E308&gt;0.5,1,0)</f>
        <v>0</v>
      </c>
      <c r="H308" s="4" t="str">
        <f aca="false">IF(G308=F308,"match","mismatch")</f>
        <v>match</v>
      </c>
    </row>
    <row r="309" customFormat="false" ht="15" hidden="false" customHeight="false" outlineLevel="0" collapsed="false">
      <c r="A309" s="8" t="s">
        <v>38</v>
      </c>
      <c r="B309" s="4" t="s">
        <v>39</v>
      </c>
      <c r="C309" s="4" t="n">
        <v>331</v>
      </c>
      <c r="D309" s="4" t="s">
        <v>27</v>
      </c>
      <c r="E309" s="9" t="n">
        <v>0.114</v>
      </c>
      <c r="F309" s="4" t="n">
        <v>0</v>
      </c>
      <c r="G309" s="4" t="n">
        <f aca="false">IF(E309&gt;0.5,1,0)</f>
        <v>0</v>
      </c>
      <c r="H309" s="4" t="str">
        <f aca="false">IF(G309=F309,"match","mismatch")</f>
        <v>match</v>
      </c>
    </row>
    <row r="310" customFormat="false" ht="15" hidden="false" customHeight="false" outlineLevel="0" collapsed="false">
      <c r="A310" s="8" t="s">
        <v>38</v>
      </c>
      <c r="B310" s="4" t="s">
        <v>39</v>
      </c>
      <c r="C310" s="4" t="n">
        <v>332</v>
      </c>
      <c r="D310" s="4" t="s">
        <v>36</v>
      </c>
      <c r="E310" s="9" t="n">
        <v>0.006</v>
      </c>
      <c r="F310" s="4" t="n">
        <v>0</v>
      </c>
      <c r="G310" s="4" t="n">
        <f aca="false">IF(E310&gt;0.5,1,0)</f>
        <v>0</v>
      </c>
      <c r="H310" s="4" t="str">
        <f aca="false">IF(G310=F310,"match","mismatch")</f>
        <v>match</v>
      </c>
    </row>
    <row r="311" customFormat="false" ht="15" hidden="false" customHeight="false" outlineLevel="0" collapsed="false">
      <c r="A311" s="8" t="s">
        <v>38</v>
      </c>
      <c r="B311" s="4" t="s">
        <v>39</v>
      </c>
      <c r="C311" s="4" t="n">
        <v>333</v>
      </c>
      <c r="D311" s="4" t="s">
        <v>36</v>
      </c>
      <c r="E311" s="9" t="n">
        <v>0.158</v>
      </c>
      <c r="F311" s="4" t="n">
        <v>0</v>
      </c>
      <c r="G311" s="4" t="n">
        <f aca="false">IF(E311&gt;0.5,1,0)</f>
        <v>0</v>
      </c>
      <c r="H311" s="4" t="str">
        <f aca="false">IF(G311=F311,"match","mismatch")</f>
        <v>match</v>
      </c>
    </row>
    <row r="312" customFormat="false" ht="15" hidden="false" customHeight="false" outlineLevel="0" collapsed="false">
      <c r="A312" s="8" t="s">
        <v>38</v>
      </c>
      <c r="B312" s="4" t="s">
        <v>39</v>
      </c>
      <c r="C312" s="4" t="n">
        <v>334</v>
      </c>
      <c r="D312" s="4" t="s">
        <v>31</v>
      </c>
      <c r="E312" s="9" t="n">
        <v>0.017</v>
      </c>
      <c r="F312" s="4" t="n">
        <v>0</v>
      </c>
      <c r="G312" s="4" t="n">
        <f aca="false">IF(E312&gt;0.5,1,0)</f>
        <v>0</v>
      </c>
      <c r="H312" s="4" t="str">
        <f aca="false">IF(G312=F312,"match","mismatch")</f>
        <v>match</v>
      </c>
    </row>
    <row r="313" customFormat="false" ht="15" hidden="false" customHeight="false" outlineLevel="0" collapsed="false">
      <c r="A313" s="8" t="s">
        <v>38</v>
      </c>
      <c r="B313" s="4" t="s">
        <v>39</v>
      </c>
      <c r="C313" s="4" t="n">
        <v>335</v>
      </c>
      <c r="D313" s="4" t="s">
        <v>28</v>
      </c>
      <c r="E313" s="9" t="n">
        <v>0.358</v>
      </c>
      <c r="F313" s="4" t="n">
        <v>0</v>
      </c>
      <c r="G313" s="4" t="n">
        <f aca="false">IF(E313&gt;0.5,1,0)</f>
        <v>0</v>
      </c>
      <c r="H313" s="4" t="str">
        <f aca="false">IF(G313=F313,"match","mismatch")</f>
        <v>match</v>
      </c>
    </row>
    <row r="314" customFormat="false" ht="15" hidden="false" customHeight="false" outlineLevel="0" collapsed="false">
      <c r="A314" s="8" t="s">
        <v>38</v>
      </c>
      <c r="B314" s="4" t="s">
        <v>39</v>
      </c>
      <c r="C314" s="4" t="n">
        <v>336</v>
      </c>
      <c r="D314" s="4" t="s">
        <v>33</v>
      </c>
      <c r="E314" s="9" t="n">
        <v>0.028</v>
      </c>
      <c r="F314" s="4" t="n">
        <v>0</v>
      </c>
      <c r="G314" s="4" t="n">
        <f aca="false">IF(E314&gt;0.5,1,0)</f>
        <v>0</v>
      </c>
      <c r="H314" s="4" t="str">
        <f aca="false">IF(G314=F314,"match","mismatch")</f>
        <v>match</v>
      </c>
    </row>
    <row r="315" customFormat="false" ht="15" hidden="false" customHeight="false" outlineLevel="0" collapsed="false">
      <c r="A315" s="8" t="s">
        <v>38</v>
      </c>
      <c r="B315" s="4" t="s">
        <v>39</v>
      </c>
      <c r="C315" s="4" t="n">
        <v>337</v>
      </c>
      <c r="D315" s="4" t="s">
        <v>33</v>
      </c>
      <c r="E315" s="9" t="n">
        <v>0.128</v>
      </c>
      <c r="F315" s="4" t="n">
        <v>0</v>
      </c>
      <c r="G315" s="4" t="n">
        <f aca="false">IF(E315&gt;0.5,1,0)</f>
        <v>0</v>
      </c>
      <c r="H315" s="4" t="str">
        <f aca="false">IF(G315=F315,"match","mismatch")</f>
        <v>match</v>
      </c>
    </row>
    <row r="316" customFormat="false" ht="15" hidden="false" customHeight="false" outlineLevel="0" collapsed="false">
      <c r="A316" s="8" t="s">
        <v>38</v>
      </c>
      <c r="B316" s="4" t="s">
        <v>39</v>
      </c>
      <c r="C316" s="4" t="n">
        <v>338</v>
      </c>
      <c r="D316" s="4" t="s">
        <v>36</v>
      </c>
      <c r="E316" s="9" t="n">
        <v>0.217</v>
      </c>
      <c r="F316" s="4" t="n">
        <v>0</v>
      </c>
      <c r="G316" s="4" t="n">
        <f aca="false">IF(E316&gt;0.5,1,0)</f>
        <v>0</v>
      </c>
      <c r="H316" s="4" t="str">
        <f aca="false">IF(G316=F316,"match","mismatch")</f>
        <v>match</v>
      </c>
    </row>
    <row r="317" customFormat="false" ht="15" hidden="false" customHeight="false" outlineLevel="0" collapsed="false">
      <c r="A317" s="8" t="s">
        <v>38</v>
      </c>
      <c r="B317" s="4" t="s">
        <v>39</v>
      </c>
      <c r="C317" s="4" t="n">
        <v>339</v>
      </c>
      <c r="D317" s="4" t="s">
        <v>23</v>
      </c>
      <c r="E317" s="9" t="n">
        <v>0.304</v>
      </c>
      <c r="F317" s="4" t="n">
        <v>0</v>
      </c>
      <c r="G317" s="4" t="n">
        <f aca="false">IF(E317&gt;0.5,1,0)</f>
        <v>0</v>
      </c>
      <c r="H317" s="4" t="str">
        <f aca="false">IF(G317=F317,"match","mismatch")</f>
        <v>match</v>
      </c>
    </row>
    <row r="318" customFormat="false" ht="15" hidden="false" customHeight="false" outlineLevel="0" collapsed="false">
      <c r="A318" s="8" t="s">
        <v>38</v>
      </c>
      <c r="B318" s="4" t="s">
        <v>39</v>
      </c>
      <c r="C318" s="4" t="n">
        <v>340</v>
      </c>
      <c r="D318" s="4" t="s">
        <v>37</v>
      </c>
      <c r="E318" s="9" t="n">
        <v>0.168</v>
      </c>
      <c r="F318" s="4" t="n">
        <v>0</v>
      </c>
      <c r="G318" s="4" t="n">
        <f aca="false">IF(E318&gt;0.5,1,0)</f>
        <v>0</v>
      </c>
      <c r="H318" s="4" t="str">
        <f aca="false">IF(G318=F318,"match","mismatch")</f>
        <v>match</v>
      </c>
    </row>
    <row r="319" customFormat="false" ht="15" hidden="false" customHeight="false" outlineLevel="0" collapsed="false">
      <c r="A319" s="8" t="s">
        <v>38</v>
      </c>
      <c r="B319" s="4" t="s">
        <v>39</v>
      </c>
      <c r="C319" s="4" t="n">
        <v>341</v>
      </c>
      <c r="D319" s="4" t="s">
        <v>40</v>
      </c>
      <c r="E319" s="9" t="n">
        <v>0.419</v>
      </c>
      <c r="F319" s="4" t="n">
        <v>0</v>
      </c>
      <c r="G319" s="4" t="n">
        <f aca="false">IF(E319&gt;0.5,1,0)</f>
        <v>0</v>
      </c>
      <c r="H319" s="4" t="str">
        <f aca="false">IF(G319=F319,"match","mismatch")</f>
        <v>match</v>
      </c>
    </row>
    <row r="320" customFormat="false" ht="15" hidden="false" customHeight="false" outlineLevel="0" collapsed="false">
      <c r="A320" s="8" t="s">
        <v>38</v>
      </c>
      <c r="B320" s="4" t="s">
        <v>39</v>
      </c>
      <c r="C320" s="4" t="n">
        <v>342</v>
      </c>
      <c r="D320" s="4" t="s">
        <v>32</v>
      </c>
      <c r="E320" s="9" t="n">
        <v>0.217</v>
      </c>
      <c r="F320" s="4" t="n">
        <v>0</v>
      </c>
      <c r="G320" s="4" t="n">
        <f aca="false">IF(E320&gt;0.5,1,0)</f>
        <v>0</v>
      </c>
      <c r="H320" s="4" t="str">
        <f aca="false">IF(G320=F320,"match","mismatch")</f>
        <v>match</v>
      </c>
    </row>
    <row r="321" customFormat="false" ht="15" hidden="false" customHeight="false" outlineLevel="0" collapsed="false">
      <c r="A321" s="8" t="s">
        <v>38</v>
      </c>
      <c r="B321" s="4" t="s">
        <v>39</v>
      </c>
      <c r="C321" s="4" t="n">
        <v>343</v>
      </c>
      <c r="D321" s="4" t="s">
        <v>31</v>
      </c>
      <c r="E321" s="9" t="n">
        <v>0.272</v>
      </c>
      <c r="F321" s="4" t="n">
        <v>0</v>
      </c>
      <c r="G321" s="4" t="n">
        <f aca="false">IF(E321&gt;0.5,1,0)</f>
        <v>0</v>
      </c>
      <c r="H321" s="4" t="str">
        <f aca="false">IF(G321=F321,"match","mismatch")</f>
        <v>match</v>
      </c>
    </row>
    <row r="322" customFormat="false" ht="15" hidden="false" customHeight="false" outlineLevel="0" collapsed="false">
      <c r="A322" s="8" t="s">
        <v>38</v>
      </c>
      <c r="B322" s="4" t="s">
        <v>39</v>
      </c>
      <c r="C322" s="4" t="n">
        <v>344</v>
      </c>
      <c r="D322" s="4" t="s">
        <v>31</v>
      </c>
      <c r="E322" s="9" t="n">
        <v>0.108</v>
      </c>
      <c r="F322" s="4" t="n">
        <v>0</v>
      </c>
      <c r="G322" s="4" t="n">
        <f aca="false">IF(E322&gt;0.5,1,0)</f>
        <v>0</v>
      </c>
      <c r="H322" s="4" t="str">
        <f aca="false">IF(G322=F322,"match","mismatch")</f>
        <v>match</v>
      </c>
    </row>
    <row r="323" customFormat="false" ht="15" hidden="false" customHeight="false" outlineLevel="0" collapsed="false">
      <c r="A323" s="8" t="s">
        <v>38</v>
      </c>
      <c r="B323" s="4" t="s">
        <v>39</v>
      </c>
      <c r="C323" s="4" t="n">
        <v>345</v>
      </c>
      <c r="D323" s="4" t="s">
        <v>24</v>
      </c>
      <c r="E323" s="9" t="n">
        <v>0.323</v>
      </c>
      <c r="F323" s="4" t="n">
        <v>0</v>
      </c>
      <c r="G323" s="4" t="n">
        <f aca="false">IF(E323&gt;0.5,1,0)</f>
        <v>0</v>
      </c>
      <c r="H323" s="4" t="str">
        <f aca="false">IF(G323=F323,"match","mismatch")</f>
        <v>match</v>
      </c>
    </row>
    <row r="324" customFormat="false" ht="15" hidden="false" customHeight="false" outlineLevel="0" collapsed="false">
      <c r="A324" s="8" t="s">
        <v>38</v>
      </c>
      <c r="B324" s="4" t="s">
        <v>39</v>
      </c>
      <c r="C324" s="4" t="n">
        <v>346</v>
      </c>
      <c r="D324" s="4" t="s">
        <v>35</v>
      </c>
      <c r="E324" s="9" t="n">
        <v>0.712</v>
      </c>
      <c r="F324" s="4" t="n">
        <v>0</v>
      </c>
      <c r="G324" s="4" t="n">
        <f aca="false">IF(E324&gt;0.5,1,0)</f>
        <v>1</v>
      </c>
      <c r="H324" s="4" t="str">
        <f aca="false">IF(G324=F324,"match","mismatch")</f>
        <v>mismatch</v>
      </c>
    </row>
    <row r="325" customFormat="false" ht="15" hidden="false" customHeight="false" outlineLevel="0" collapsed="false">
      <c r="A325" s="8" t="s">
        <v>38</v>
      </c>
      <c r="B325" s="4" t="s">
        <v>39</v>
      </c>
      <c r="C325" s="4" t="n">
        <v>347</v>
      </c>
      <c r="D325" s="4" t="s">
        <v>27</v>
      </c>
      <c r="E325" s="9" t="n">
        <v>0.072</v>
      </c>
      <c r="F325" s="4" t="n">
        <v>0</v>
      </c>
      <c r="G325" s="4" t="n">
        <f aca="false">IF(E325&gt;0.5,1,0)</f>
        <v>0</v>
      </c>
      <c r="H325" s="4" t="str">
        <f aca="false">IF(G325=F325,"match","mismatch")</f>
        <v>match</v>
      </c>
    </row>
    <row r="326" customFormat="false" ht="15" hidden="false" customHeight="false" outlineLevel="0" collapsed="false">
      <c r="A326" s="8" t="s">
        <v>38</v>
      </c>
      <c r="B326" s="4" t="s">
        <v>39</v>
      </c>
      <c r="C326" s="4" t="n">
        <v>348</v>
      </c>
      <c r="D326" s="4" t="s">
        <v>40</v>
      </c>
      <c r="E326" s="9" t="n">
        <v>0.23</v>
      </c>
      <c r="F326" s="4" t="n">
        <v>0</v>
      </c>
      <c r="G326" s="4" t="n">
        <f aca="false">IF(E326&gt;0.5,1,0)</f>
        <v>0</v>
      </c>
      <c r="H326" s="4" t="str">
        <f aca="false">IF(G326=F326,"match","mismatch")</f>
        <v>match</v>
      </c>
    </row>
    <row r="327" customFormat="false" ht="15" hidden="false" customHeight="false" outlineLevel="0" collapsed="false">
      <c r="A327" s="8" t="s">
        <v>38</v>
      </c>
      <c r="B327" s="4" t="s">
        <v>39</v>
      </c>
      <c r="C327" s="4" t="n">
        <v>349</v>
      </c>
      <c r="D327" s="4" t="s">
        <v>27</v>
      </c>
      <c r="E327" s="9" t="n">
        <v>0.006</v>
      </c>
      <c r="F327" s="4" t="n">
        <v>0</v>
      </c>
      <c r="G327" s="4" t="n">
        <f aca="false">IF(E327&gt;0.5,1,0)</f>
        <v>0</v>
      </c>
      <c r="H327" s="4" t="str">
        <f aca="false">IF(G327=F327,"match","mismatch")</f>
        <v>match</v>
      </c>
    </row>
    <row r="328" customFormat="false" ht="15" hidden="false" customHeight="false" outlineLevel="0" collapsed="false">
      <c r="A328" s="8" t="s">
        <v>38</v>
      </c>
      <c r="B328" s="4" t="s">
        <v>39</v>
      </c>
      <c r="C328" s="4" t="n">
        <v>350</v>
      </c>
      <c r="D328" s="4" t="s">
        <v>41</v>
      </c>
      <c r="E328" s="9" t="n">
        <v>0.018</v>
      </c>
      <c r="F328" s="4" t="n">
        <v>0</v>
      </c>
      <c r="G328" s="4" t="n">
        <f aca="false">IF(E328&gt;0.5,1,0)</f>
        <v>0</v>
      </c>
      <c r="H328" s="4" t="str">
        <f aca="false">IF(G328=F328,"match","mismatch")</f>
        <v>match</v>
      </c>
    </row>
    <row r="329" customFormat="false" ht="15" hidden="false" customHeight="false" outlineLevel="0" collapsed="false">
      <c r="A329" s="8" t="s">
        <v>38</v>
      </c>
      <c r="B329" s="4" t="s">
        <v>39</v>
      </c>
      <c r="C329" s="4" t="n">
        <v>351</v>
      </c>
      <c r="D329" s="4" t="s">
        <v>27</v>
      </c>
      <c r="E329" s="9" t="n">
        <v>0.005</v>
      </c>
      <c r="F329" s="4" t="n">
        <v>0</v>
      </c>
      <c r="G329" s="4" t="n">
        <f aca="false">IF(E329&gt;0.5,1,0)</f>
        <v>0</v>
      </c>
      <c r="H329" s="4" t="str">
        <f aca="false">IF(G329=F329,"match","mismatch")</f>
        <v>match</v>
      </c>
    </row>
    <row r="330" customFormat="false" ht="15" hidden="false" customHeight="false" outlineLevel="0" collapsed="false">
      <c r="A330" s="8" t="s">
        <v>38</v>
      </c>
      <c r="B330" s="4" t="s">
        <v>39</v>
      </c>
      <c r="C330" s="4" t="n">
        <v>352</v>
      </c>
      <c r="D330" s="4" t="s">
        <v>41</v>
      </c>
      <c r="E330" s="9" t="n">
        <v>0.008</v>
      </c>
      <c r="F330" s="4" t="n">
        <v>0</v>
      </c>
      <c r="G330" s="4" t="n">
        <f aca="false">IF(E330&gt;0.5,1,0)</f>
        <v>0</v>
      </c>
      <c r="H330" s="4" t="str">
        <f aca="false">IF(G330=F330,"match","mismatch")</f>
        <v>match</v>
      </c>
    </row>
    <row r="331" customFormat="false" ht="15" hidden="false" customHeight="false" outlineLevel="0" collapsed="false">
      <c r="A331" s="8" t="s">
        <v>38</v>
      </c>
      <c r="B331" s="4" t="s">
        <v>39</v>
      </c>
      <c r="C331" s="4" t="n">
        <v>353</v>
      </c>
      <c r="D331" s="4" t="s">
        <v>37</v>
      </c>
      <c r="E331" s="9" t="n">
        <v>0.005</v>
      </c>
      <c r="F331" s="4" t="n">
        <v>0</v>
      </c>
      <c r="G331" s="4" t="n">
        <f aca="false">IF(E331&gt;0.5,1,0)</f>
        <v>0</v>
      </c>
      <c r="H331" s="4" t="str">
        <f aca="false">IF(G331=F331,"match","mismatch")</f>
        <v>match</v>
      </c>
    </row>
    <row r="332" customFormat="false" ht="15" hidden="false" customHeight="false" outlineLevel="0" collapsed="false">
      <c r="A332" s="8" t="s">
        <v>38</v>
      </c>
      <c r="B332" s="4" t="s">
        <v>39</v>
      </c>
      <c r="C332" s="4" t="n">
        <v>354</v>
      </c>
      <c r="D332" s="4" t="s">
        <v>36</v>
      </c>
      <c r="E332" s="9" t="n">
        <v>0.011</v>
      </c>
      <c r="F332" s="4" t="n">
        <v>0</v>
      </c>
      <c r="G332" s="4" t="n">
        <f aca="false">IF(E332&gt;0.5,1,0)</f>
        <v>0</v>
      </c>
      <c r="H332" s="4" t="str">
        <f aca="false">IF(G332=F332,"match","mismatch")</f>
        <v>match</v>
      </c>
    </row>
    <row r="333" customFormat="false" ht="15" hidden="false" customHeight="false" outlineLevel="0" collapsed="false">
      <c r="A333" s="8" t="s">
        <v>38</v>
      </c>
      <c r="B333" s="4" t="s">
        <v>39</v>
      </c>
      <c r="C333" s="4" t="n">
        <v>355</v>
      </c>
      <c r="D333" s="4" t="s">
        <v>25</v>
      </c>
      <c r="E333" s="9" t="n">
        <v>0.009</v>
      </c>
      <c r="F333" s="4" t="n">
        <v>0</v>
      </c>
      <c r="G333" s="4" t="n">
        <f aca="false">IF(E333&gt;0.5,1,0)</f>
        <v>0</v>
      </c>
      <c r="H333" s="4" t="str">
        <f aca="false">IF(G333=F333,"match","mismatch")</f>
        <v>match</v>
      </c>
    </row>
    <row r="334" customFormat="false" ht="15" hidden="false" customHeight="false" outlineLevel="0" collapsed="false">
      <c r="A334" s="8" t="s">
        <v>38</v>
      </c>
      <c r="B334" s="4" t="s">
        <v>39</v>
      </c>
      <c r="C334" s="4" t="n">
        <v>356</v>
      </c>
      <c r="D334" s="4" t="s">
        <v>33</v>
      </c>
      <c r="E334" s="9" t="n">
        <v>0.018</v>
      </c>
      <c r="F334" s="4" t="n">
        <v>0</v>
      </c>
      <c r="G334" s="4" t="n">
        <f aca="false">IF(E334&gt;0.5,1,0)</f>
        <v>0</v>
      </c>
      <c r="H334" s="4" t="str">
        <f aca="false">IF(G334=F334,"match","mismatch")</f>
        <v>match</v>
      </c>
    </row>
    <row r="335" customFormat="false" ht="15" hidden="false" customHeight="false" outlineLevel="0" collapsed="false">
      <c r="A335" s="8" t="s">
        <v>38</v>
      </c>
      <c r="B335" s="4" t="s">
        <v>39</v>
      </c>
      <c r="C335" s="4" t="n">
        <v>357</v>
      </c>
      <c r="D335" s="4" t="s">
        <v>23</v>
      </c>
      <c r="E335" s="9" t="n">
        <v>0.019</v>
      </c>
      <c r="F335" s="4" t="n">
        <v>0</v>
      </c>
      <c r="G335" s="4" t="n">
        <f aca="false">IF(E335&gt;0.5,1,0)</f>
        <v>0</v>
      </c>
      <c r="H335" s="4" t="str">
        <f aca="false">IF(G335=F335,"match","mismatch")</f>
        <v>match</v>
      </c>
    </row>
    <row r="336" customFormat="false" ht="15" hidden="false" customHeight="false" outlineLevel="0" collapsed="false">
      <c r="A336" s="8" t="s">
        <v>38</v>
      </c>
      <c r="B336" s="4" t="s">
        <v>39</v>
      </c>
      <c r="C336" s="4" t="n">
        <v>358</v>
      </c>
      <c r="D336" s="4" t="s">
        <v>46</v>
      </c>
      <c r="E336" s="9" t="n">
        <v>0.085</v>
      </c>
      <c r="F336" s="4" t="n">
        <v>0</v>
      </c>
      <c r="G336" s="4" t="n">
        <f aca="false">IF(E336&gt;0.5,1,0)</f>
        <v>0</v>
      </c>
      <c r="H336" s="4" t="str">
        <f aca="false">IF(G336=F336,"match","mismatch")</f>
        <v>match</v>
      </c>
    </row>
    <row r="337" customFormat="false" ht="15" hidden="false" customHeight="false" outlineLevel="0" collapsed="false">
      <c r="A337" s="8" t="s">
        <v>38</v>
      </c>
      <c r="B337" s="4" t="s">
        <v>39</v>
      </c>
      <c r="C337" s="4" t="n">
        <v>359</v>
      </c>
      <c r="D337" s="4" t="s">
        <v>28</v>
      </c>
      <c r="E337" s="9" t="n">
        <v>0.023</v>
      </c>
      <c r="F337" s="4" t="n">
        <v>0</v>
      </c>
      <c r="G337" s="4" t="n">
        <f aca="false">IF(E337&gt;0.5,1,0)</f>
        <v>0</v>
      </c>
      <c r="H337" s="4" t="str">
        <f aca="false">IF(G337=F337,"match","mismatch")</f>
        <v>match</v>
      </c>
    </row>
    <row r="338" customFormat="false" ht="15" hidden="false" customHeight="false" outlineLevel="0" collapsed="false">
      <c r="A338" s="8" t="s">
        <v>38</v>
      </c>
      <c r="B338" s="4" t="s">
        <v>39</v>
      </c>
      <c r="C338" s="4" t="n">
        <v>360</v>
      </c>
      <c r="D338" s="4" t="s">
        <v>32</v>
      </c>
      <c r="E338" s="9" t="n">
        <v>0.122</v>
      </c>
      <c r="F338" s="4" t="n">
        <v>0</v>
      </c>
      <c r="G338" s="4" t="n">
        <f aca="false">IF(E338&gt;0.5,1,0)</f>
        <v>0</v>
      </c>
      <c r="H338" s="4" t="str">
        <f aca="false">IF(G338=F338,"match","mismatch")</f>
        <v>match</v>
      </c>
    </row>
    <row r="339" customFormat="false" ht="15" hidden="false" customHeight="false" outlineLevel="0" collapsed="false">
      <c r="A339" s="8" t="s">
        <v>38</v>
      </c>
      <c r="B339" s="4" t="s">
        <v>39</v>
      </c>
      <c r="C339" s="4" t="n">
        <v>361</v>
      </c>
      <c r="D339" s="4" t="s">
        <v>30</v>
      </c>
      <c r="E339" s="9" t="n">
        <v>0.39</v>
      </c>
      <c r="F339" s="4" t="n">
        <v>0</v>
      </c>
      <c r="G339" s="4" t="n">
        <f aca="false">IF(E339&gt;0.5,1,0)</f>
        <v>0</v>
      </c>
      <c r="H339" s="4" t="str">
        <f aca="false">IF(G339=F339,"match","mismatch")</f>
        <v>match</v>
      </c>
    </row>
    <row r="340" customFormat="false" ht="15" hidden="false" customHeight="false" outlineLevel="0" collapsed="false">
      <c r="A340" s="8" t="s">
        <v>38</v>
      </c>
      <c r="B340" s="4" t="s">
        <v>39</v>
      </c>
      <c r="C340" s="4" t="n">
        <v>362</v>
      </c>
      <c r="D340" s="4" t="s">
        <v>28</v>
      </c>
      <c r="E340" s="9" t="n">
        <v>0.227</v>
      </c>
      <c r="F340" s="4" t="n">
        <v>0</v>
      </c>
      <c r="G340" s="4" t="n">
        <f aca="false">IF(E340&gt;0.5,1,0)</f>
        <v>0</v>
      </c>
      <c r="H340" s="4" t="str">
        <f aca="false">IF(G340=F340,"match","mismatch")</f>
        <v>match</v>
      </c>
    </row>
    <row r="341" customFormat="false" ht="15" hidden="false" customHeight="false" outlineLevel="0" collapsed="false">
      <c r="A341" s="8" t="s">
        <v>38</v>
      </c>
      <c r="B341" s="4" t="s">
        <v>39</v>
      </c>
      <c r="C341" s="4" t="n">
        <v>363</v>
      </c>
      <c r="D341" s="4" t="s">
        <v>29</v>
      </c>
      <c r="E341" s="9" t="n">
        <v>0.228</v>
      </c>
      <c r="F341" s="4" t="n">
        <v>0</v>
      </c>
      <c r="G341" s="4" t="n">
        <f aca="false">IF(E341&gt;0.5,1,0)</f>
        <v>0</v>
      </c>
      <c r="H341" s="4" t="str">
        <f aca="false">IF(G341=F341,"match","mismatch")</f>
        <v>match</v>
      </c>
    </row>
    <row r="342" customFormat="false" ht="15" hidden="false" customHeight="false" outlineLevel="0" collapsed="false">
      <c r="A342" s="8" t="s">
        <v>38</v>
      </c>
      <c r="B342" s="4" t="s">
        <v>39</v>
      </c>
      <c r="C342" s="4" t="n">
        <v>364</v>
      </c>
      <c r="D342" s="4" t="s">
        <v>26</v>
      </c>
      <c r="E342" s="9" t="n">
        <v>0.212</v>
      </c>
      <c r="F342" s="4" t="n">
        <v>0</v>
      </c>
      <c r="G342" s="4" t="n">
        <f aca="false">IF(E342&gt;0.5,1,0)</f>
        <v>0</v>
      </c>
      <c r="H342" s="4" t="str">
        <f aca="false">IF(G342=F342,"match","mismatch")</f>
        <v>match</v>
      </c>
    </row>
    <row r="343" customFormat="false" ht="15" hidden="false" customHeight="false" outlineLevel="0" collapsed="false">
      <c r="A343" s="8" t="s">
        <v>38</v>
      </c>
      <c r="B343" s="4" t="s">
        <v>39</v>
      </c>
      <c r="C343" s="4" t="n">
        <v>365</v>
      </c>
      <c r="D343" s="4" t="s">
        <v>24</v>
      </c>
      <c r="E343" s="9" t="n">
        <v>0.169</v>
      </c>
      <c r="F343" s="4" t="n">
        <v>0</v>
      </c>
      <c r="G343" s="4" t="n">
        <f aca="false">IF(E343&gt;0.5,1,0)</f>
        <v>0</v>
      </c>
      <c r="H343" s="4" t="str">
        <f aca="false">IF(G343=F343,"match","mismatch")</f>
        <v>match</v>
      </c>
    </row>
    <row r="344" customFormat="false" ht="15" hidden="false" customHeight="false" outlineLevel="0" collapsed="false">
      <c r="A344" s="8" t="s">
        <v>38</v>
      </c>
      <c r="B344" s="4" t="s">
        <v>39</v>
      </c>
      <c r="C344" s="4" t="n">
        <v>366</v>
      </c>
      <c r="D344" s="4" t="s">
        <v>26</v>
      </c>
      <c r="E344" s="9" t="n">
        <v>0.043</v>
      </c>
      <c r="F344" s="4" t="n">
        <v>0</v>
      </c>
      <c r="G344" s="4" t="n">
        <f aca="false">IF(E344&gt;0.5,1,0)</f>
        <v>0</v>
      </c>
      <c r="H344" s="4" t="str">
        <f aca="false">IF(G344=F344,"match","mismatch")</f>
        <v>match</v>
      </c>
    </row>
    <row r="345" customFormat="false" ht="15" hidden="false" customHeight="false" outlineLevel="0" collapsed="false">
      <c r="A345" s="8" t="s">
        <v>38</v>
      </c>
      <c r="B345" s="4" t="s">
        <v>39</v>
      </c>
      <c r="C345" s="4" t="n">
        <v>367</v>
      </c>
      <c r="D345" s="4" t="s">
        <v>32</v>
      </c>
      <c r="E345" s="9" t="n">
        <v>0.052</v>
      </c>
      <c r="F345" s="4" t="n">
        <v>0</v>
      </c>
      <c r="G345" s="4" t="n">
        <f aca="false">IF(E345&gt;0.5,1,0)</f>
        <v>0</v>
      </c>
      <c r="H345" s="4" t="str">
        <f aca="false">IF(G345=F345,"match","mismatch")</f>
        <v>match</v>
      </c>
    </row>
    <row r="346" customFormat="false" ht="15" hidden="false" customHeight="false" outlineLevel="0" collapsed="false">
      <c r="A346" s="8" t="s">
        <v>38</v>
      </c>
      <c r="B346" s="4" t="s">
        <v>39</v>
      </c>
      <c r="C346" s="4" t="n">
        <v>368</v>
      </c>
      <c r="D346" s="4" t="s">
        <v>31</v>
      </c>
      <c r="E346" s="9" t="n">
        <v>0.025</v>
      </c>
      <c r="F346" s="4" t="n">
        <v>0</v>
      </c>
      <c r="G346" s="4" t="n">
        <f aca="false">IF(E346&gt;0.5,1,0)</f>
        <v>0</v>
      </c>
      <c r="H346" s="4" t="str">
        <f aca="false">IF(G346=F346,"match","mismatch")</f>
        <v>match</v>
      </c>
    </row>
    <row r="347" customFormat="false" ht="15" hidden="false" customHeight="false" outlineLevel="0" collapsed="false">
      <c r="A347" s="8" t="s">
        <v>38</v>
      </c>
      <c r="B347" s="4" t="s">
        <v>39</v>
      </c>
      <c r="C347" s="4" t="n">
        <v>369</v>
      </c>
      <c r="D347" s="4" t="s">
        <v>31</v>
      </c>
      <c r="E347" s="9" t="n">
        <v>0.075</v>
      </c>
      <c r="F347" s="4" t="n">
        <v>0</v>
      </c>
      <c r="G347" s="4" t="n">
        <f aca="false">IF(E347&gt;0.5,1,0)</f>
        <v>0</v>
      </c>
      <c r="H347" s="4" t="str">
        <f aca="false">IF(G347=F347,"match","mismatch")</f>
        <v>match</v>
      </c>
    </row>
    <row r="348" customFormat="false" ht="15" hidden="false" customHeight="false" outlineLevel="0" collapsed="false">
      <c r="A348" s="8" t="s">
        <v>38</v>
      </c>
      <c r="B348" s="4" t="s">
        <v>39</v>
      </c>
      <c r="C348" s="4" t="n">
        <v>370</v>
      </c>
      <c r="D348" s="4" t="s">
        <v>40</v>
      </c>
      <c r="E348" s="9" t="n">
        <v>0.007</v>
      </c>
      <c r="F348" s="4" t="n">
        <v>0</v>
      </c>
      <c r="G348" s="4" t="n">
        <f aca="false">IF(E348&gt;0.5,1,0)</f>
        <v>0</v>
      </c>
      <c r="H348" s="4" t="str">
        <f aca="false">IF(G348=F348,"match","mismatch")</f>
        <v>match</v>
      </c>
    </row>
    <row r="349" customFormat="false" ht="15" hidden="false" customHeight="false" outlineLevel="0" collapsed="false">
      <c r="A349" s="8" t="s">
        <v>38</v>
      </c>
      <c r="B349" s="4" t="s">
        <v>39</v>
      </c>
      <c r="C349" s="4" t="n">
        <v>371</v>
      </c>
      <c r="D349" s="4" t="s">
        <v>32</v>
      </c>
      <c r="E349" s="9" t="n">
        <v>0.01</v>
      </c>
      <c r="F349" s="4" t="n">
        <v>0</v>
      </c>
      <c r="G349" s="4" t="n">
        <f aca="false">IF(E349&gt;0.5,1,0)</f>
        <v>0</v>
      </c>
      <c r="H349" s="4" t="str">
        <f aca="false">IF(G349=F349,"match","mismatch")</f>
        <v>match</v>
      </c>
    </row>
    <row r="350" customFormat="false" ht="15" hidden="false" customHeight="false" outlineLevel="0" collapsed="false">
      <c r="A350" s="8" t="s">
        <v>38</v>
      </c>
      <c r="B350" s="4" t="s">
        <v>39</v>
      </c>
      <c r="C350" s="4" t="n">
        <v>372</v>
      </c>
      <c r="D350" s="4" t="s">
        <v>30</v>
      </c>
      <c r="E350" s="9" t="n">
        <v>0.005</v>
      </c>
      <c r="F350" s="4" t="n">
        <v>0</v>
      </c>
      <c r="G350" s="4" t="n">
        <f aca="false">IF(E350&gt;0.5,1,0)</f>
        <v>0</v>
      </c>
      <c r="H350" s="4" t="str">
        <f aca="false">IF(G350=F350,"match","mismatch")</f>
        <v>match</v>
      </c>
    </row>
    <row r="351" customFormat="false" ht="15" hidden="false" customHeight="false" outlineLevel="0" collapsed="false">
      <c r="A351" s="8" t="s">
        <v>38</v>
      </c>
      <c r="B351" s="4" t="s">
        <v>39</v>
      </c>
      <c r="C351" s="4" t="n">
        <v>373</v>
      </c>
      <c r="D351" s="4" t="s">
        <v>46</v>
      </c>
      <c r="E351" s="9" t="n">
        <v>0.008</v>
      </c>
      <c r="F351" s="4" t="n">
        <v>0</v>
      </c>
      <c r="G351" s="4" t="n">
        <f aca="false">IF(E351&gt;0.5,1,0)</f>
        <v>0</v>
      </c>
      <c r="H351" s="4" t="str">
        <f aca="false">IF(G351=F351,"match","mismatch")</f>
        <v>match</v>
      </c>
    </row>
    <row r="352" customFormat="false" ht="15" hidden="false" customHeight="false" outlineLevel="0" collapsed="false">
      <c r="A352" s="8" t="s">
        <v>38</v>
      </c>
      <c r="B352" s="4" t="s">
        <v>39</v>
      </c>
      <c r="C352" s="4" t="n">
        <v>374</v>
      </c>
      <c r="D352" s="4" t="s">
        <v>27</v>
      </c>
      <c r="E352" s="9" t="n">
        <v>0.002</v>
      </c>
      <c r="F352" s="4" t="n">
        <v>0</v>
      </c>
      <c r="G352" s="4" t="n">
        <f aca="false">IF(E352&gt;0.5,1,0)</f>
        <v>0</v>
      </c>
      <c r="H352" s="4" t="str">
        <f aca="false">IF(G352=F352,"match","mismatch")</f>
        <v>match</v>
      </c>
    </row>
    <row r="353" customFormat="false" ht="15" hidden="false" customHeight="false" outlineLevel="0" collapsed="false">
      <c r="A353" s="8" t="s">
        <v>38</v>
      </c>
      <c r="B353" s="4" t="s">
        <v>39</v>
      </c>
      <c r="C353" s="4" t="n">
        <v>375</v>
      </c>
      <c r="D353" s="4" t="s">
        <v>44</v>
      </c>
      <c r="E353" s="9" t="n">
        <v>0.007</v>
      </c>
      <c r="F353" s="4" t="n">
        <v>0</v>
      </c>
      <c r="G353" s="4" t="n">
        <f aca="false">IF(E353&gt;0.5,1,0)</f>
        <v>0</v>
      </c>
      <c r="H353" s="4" t="str">
        <f aca="false">IF(G353=F353,"match","mismatch")</f>
        <v>match</v>
      </c>
    </row>
    <row r="354" customFormat="false" ht="15" hidden="false" customHeight="false" outlineLevel="0" collapsed="false">
      <c r="A354" s="8" t="s">
        <v>38</v>
      </c>
      <c r="B354" s="4" t="s">
        <v>39</v>
      </c>
      <c r="C354" s="4" t="n">
        <v>376</v>
      </c>
      <c r="D354" s="4" t="s">
        <v>27</v>
      </c>
      <c r="E354" s="9" t="n">
        <v>0.009</v>
      </c>
      <c r="F354" s="4" t="n">
        <v>0</v>
      </c>
      <c r="G354" s="4" t="n">
        <f aca="false">IF(E354&gt;0.5,1,0)</f>
        <v>0</v>
      </c>
      <c r="H354" s="4" t="str">
        <f aca="false">IF(G354=F354,"match","mismatch")</f>
        <v>match</v>
      </c>
    </row>
    <row r="355" customFormat="false" ht="15" hidden="false" customHeight="false" outlineLevel="0" collapsed="false">
      <c r="A355" s="8" t="s">
        <v>38</v>
      </c>
      <c r="B355" s="4" t="s">
        <v>39</v>
      </c>
      <c r="C355" s="4" t="n">
        <v>377</v>
      </c>
      <c r="D355" s="4" t="s">
        <v>31</v>
      </c>
      <c r="E355" s="9" t="n">
        <v>0.032</v>
      </c>
      <c r="F355" s="4" t="n">
        <v>0</v>
      </c>
      <c r="G355" s="4" t="n">
        <f aca="false">IF(E355&gt;0.5,1,0)</f>
        <v>0</v>
      </c>
      <c r="H355" s="4" t="str">
        <f aca="false">IF(G355=F355,"match","mismatch")</f>
        <v>match</v>
      </c>
    </row>
    <row r="356" customFormat="false" ht="15" hidden="false" customHeight="false" outlineLevel="0" collapsed="false">
      <c r="A356" s="8" t="s">
        <v>38</v>
      </c>
      <c r="B356" s="4" t="s">
        <v>39</v>
      </c>
      <c r="C356" s="4" t="n">
        <v>378</v>
      </c>
      <c r="D356" s="4" t="s">
        <v>27</v>
      </c>
      <c r="E356" s="9" t="n">
        <v>0.01</v>
      </c>
      <c r="F356" s="4" t="n">
        <v>0</v>
      </c>
      <c r="G356" s="4" t="n">
        <f aca="false">IF(E356&gt;0.5,1,0)</f>
        <v>0</v>
      </c>
      <c r="H356" s="4" t="str">
        <f aca="false">IF(G356=F356,"match","mismatch")</f>
        <v>match</v>
      </c>
    </row>
    <row r="357" customFormat="false" ht="15" hidden="false" customHeight="false" outlineLevel="0" collapsed="false">
      <c r="A357" s="8" t="s">
        <v>38</v>
      </c>
      <c r="B357" s="4" t="s">
        <v>39</v>
      </c>
      <c r="C357" s="4" t="n">
        <v>379</v>
      </c>
      <c r="D357" s="4" t="s">
        <v>23</v>
      </c>
      <c r="E357" s="9" t="n">
        <v>0.009</v>
      </c>
      <c r="F357" s="4" t="n">
        <v>0</v>
      </c>
      <c r="G357" s="4" t="n">
        <f aca="false">IF(E357&gt;0.5,1,0)</f>
        <v>0</v>
      </c>
      <c r="H357" s="4" t="str">
        <f aca="false">IF(G357=F357,"match","mismatch")</f>
        <v>match</v>
      </c>
    </row>
    <row r="358" customFormat="false" ht="15" hidden="false" customHeight="false" outlineLevel="0" collapsed="false">
      <c r="A358" s="8" t="s">
        <v>38</v>
      </c>
      <c r="B358" s="4" t="s">
        <v>39</v>
      </c>
      <c r="C358" s="4" t="n">
        <v>380</v>
      </c>
      <c r="D358" s="4" t="s">
        <v>35</v>
      </c>
      <c r="E358" s="9" t="n">
        <v>0.012</v>
      </c>
      <c r="F358" s="4" t="n">
        <v>0</v>
      </c>
      <c r="G358" s="4" t="n">
        <f aca="false">IF(E358&gt;0.5,1,0)</f>
        <v>0</v>
      </c>
      <c r="H358" s="4" t="str">
        <f aca="false">IF(G358=F358,"match","mismatch")</f>
        <v>match</v>
      </c>
    </row>
    <row r="359" customFormat="false" ht="15" hidden="false" customHeight="false" outlineLevel="0" collapsed="false">
      <c r="A359" s="8" t="s">
        <v>38</v>
      </c>
      <c r="B359" s="4" t="s">
        <v>39</v>
      </c>
      <c r="C359" s="4" t="n">
        <v>381</v>
      </c>
      <c r="D359" s="4" t="s">
        <v>41</v>
      </c>
      <c r="E359" s="9" t="n">
        <v>0.012</v>
      </c>
      <c r="F359" s="4" t="n">
        <v>0</v>
      </c>
      <c r="G359" s="4" t="n">
        <f aca="false">IF(E359&gt;0.5,1,0)</f>
        <v>0</v>
      </c>
      <c r="H359" s="4" t="str">
        <f aca="false">IF(G359=F359,"match","mismatch")</f>
        <v>match</v>
      </c>
    </row>
    <row r="360" customFormat="false" ht="15" hidden="false" customHeight="false" outlineLevel="0" collapsed="false">
      <c r="A360" s="8" t="s">
        <v>38</v>
      </c>
      <c r="B360" s="4" t="s">
        <v>39</v>
      </c>
      <c r="C360" s="4" t="n">
        <v>382</v>
      </c>
      <c r="D360" s="4" t="s">
        <v>25</v>
      </c>
      <c r="E360" s="9" t="n">
        <v>0.067</v>
      </c>
      <c r="F360" s="4" t="n">
        <v>0</v>
      </c>
      <c r="G360" s="4" t="n">
        <f aca="false">IF(E360&gt;0.5,1,0)</f>
        <v>0</v>
      </c>
      <c r="H360" s="4" t="str">
        <f aca="false">IF(G360=F360,"match","mismatch")</f>
        <v>match</v>
      </c>
    </row>
    <row r="361" customFormat="false" ht="15" hidden="false" customHeight="false" outlineLevel="0" collapsed="false">
      <c r="A361" s="8" t="s">
        <v>38</v>
      </c>
      <c r="B361" s="4" t="s">
        <v>39</v>
      </c>
      <c r="C361" s="4" t="n">
        <v>383</v>
      </c>
      <c r="D361" s="4" t="s">
        <v>34</v>
      </c>
      <c r="E361" s="9" t="n">
        <v>0.012</v>
      </c>
      <c r="F361" s="4" t="n">
        <v>0</v>
      </c>
      <c r="G361" s="4" t="n">
        <f aca="false">IF(E361&gt;0.5,1,0)</f>
        <v>0</v>
      </c>
      <c r="H361" s="4" t="str">
        <f aca="false">IF(G361=F361,"match","mismatch")</f>
        <v>match</v>
      </c>
    </row>
    <row r="362" customFormat="false" ht="15" hidden="false" customHeight="false" outlineLevel="0" collapsed="false">
      <c r="A362" s="8" t="s">
        <v>38</v>
      </c>
      <c r="B362" s="4" t="s">
        <v>39</v>
      </c>
      <c r="C362" s="4" t="n">
        <v>384</v>
      </c>
      <c r="D362" s="4" t="s">
        <v>46</v>
      </c>
      <c r="E362" s="9" t="n">
        <v>0.08</v>
      </c>
      <c r="F362" s="4" t="n">
        <v>0</v>
      </c>
      <c r="G362" s="4" t="n">
        <f aca="false">IF(E362&gt;0.5,1,0)</f>
        <v>0</v>
      </c>
      <c r="H362" s="4" t="str">
        <f aca="false">IF(G362=F362,"match","mismatch")</f>
        <v>match</v>
      </c>
    </row>
    <row r="363" customFormat="false" ht="15" hidden="false" customHeight="false" outlineLevel="0" collapsed="false">
      <c r="A363" s="8" t="s">
        <v>38</v>
      </c>
      <c r="B363" s="4" t="s">
        <v>39</v>
      </c>
      <c r="C363" s="4" t="n">
        <v>385</v>
      </c>
      <c r="D363" s="4" t="s">
        <v>28</v>
      </c>
      <c r="E363" s="9" t="n">
        <v>0.037</v>
      </c>
      <c r="F363" s="4" t="n">
        <v>0</v>
      </c>
      <c r="G363" s="4" t="n">
        <f aca="false">IF(E363&gt;0.5,1,0)</f>
        <v>0</v>
      </c>
      <c r="H363" s="4" t="str">
        <f aca="false">IF(G363=F363,"match","mismatch")</f>
        <v>match</v>
      </c>
    </row>
    <row r="364" customFormat="false" ht="15" hidden="false" customHeight="false" outlineLevel="0" collapsed="false">
      <c r="A364" s="8" t="s">
        <v>38</v>
      </c>
      <c r="B364" s="4" t="s">
        <v>39</v>
      </c>
      <c r="C364" s="4" t="n">
        <v>386</v>
      </c>
      <c r="D364" s="4" t="s">
        <v>24</v>
      </c>
      <c r="E364" s="9" t="n">
        <v>0.252</v>
      </c>
      <c r="F364" s="4" t="n">
        <v>0</v>
      </c>
      <c r="G364" s="4" t="n">
        <f aca="false">IF(E364&gt;0.5,1,0)</f>
        <v>0</v>
      </c>
      <c r="H364" s="4" t="str">
        <f aca="false">IF(G364=F364,"match","mismatch")</f>
        <v>match</v>
      </c>
    </row>
    <row r="365" customFormat="false" ht="15" hidden="false" customHeight="false" outlineLevel="0" collapsed="false">
      <c r="A365" s="8" t="s">
        <v>38</v>
      </c>
      <c r="B365" s="4" t="s">
        <v>39</v>
      </c>
      <c r="C365" s="4" t="n">
        <v>387</v>
      </c>
      <c r="D365" s="4" t="s">
        <v>33</v>
      </c>
      <c r="E365" s="9" t="n">
        <v>0.129</v>
      </c>
      <c r="F365" s="4" t="n">
        <v>0</v>
      </c>
      <c r="G365" s="4" t="n">
        <f aca="false">IF(E365&gt;0.5,1,0)</f>
        <v>0</v>
      </c>
      <c r="H365" s="4" t="str">
        <f aca="false">IF(G365=F365,"match","mismatch")</f>
        <v>match</v>
      </c>
    </row>
    <row r="366" customFormat="false" ht="15" hidden="false" customHeight="false" outlineLevel="0" collapsed="false">
      <c r="A366" s="8" t="s">
        <v>38</v>
      </c>
      <c r="B366" s="4" t="s">
        <v>39</v>
      </c>
      <c r="C366" s="4" t="n">
        <v>388</v>
      </c>
      <c r="D366" s="4" t="s">
        <v>27</v>
      </c>
      <c r="E366" s="9" t="n">
        <v>0.202</v>
      </c>
      <c r="F366" s="4" t="n">
        <v>0</v>
      </c>
      <c r="G366" s="4" t="n">
        <f aca="false">IF(E366&gt;0.5,1,0)</f>
        <v>0</v>
      </c>
      <c r="H366" s="4" t="str">
        <f aca="false">IF(G366=F366,"match","mismatch")</f>
        <v>match</v>
      </c>
    </row>
    <row r="367" customFormat="false" ht="15" hidden="false" customHeight="false" outlineLevel="0" collapsed="false">
      <c r="A367" s="8" t="s">
        <v>38</v>
      </c>
      <c r="B367" s="4" t="s">
        <v>39</v>
      </c>
      <c r="C367" s="4" t="n">
        <v>389</v>
      </c>
      <c r="D367" s="4" t="s">
        <v>34</v>
      </c>
      <c r="E367" s="9" t="n">
        <v>0.136</v>
      </c>
      <c r="F367" s="4" t="n">
        <v>0</v>
      </c>
      <c r="G367" s="4" t="n">
        <f aca="false">IF(E367&gt;0.5,1,0)</f>
        <v>0</v>
      </c>
      <c r="H367" s="4" t="str">
        <f aca="false">IF(G367=F367,"match","mismatch")</f>
        <v>match</v>
      </c>
    </row>
    <row r="368" customFormat="false" ht="15" hidden="false" customHeight="false" outlineLevel="0" collapsed="false">
      <c r="A368" s="8" t="s">
        <v>38</v>
      </c>
      <c r="B368" s="4" t="s">
        <v>39</v>
      </c>
      <c r="C368" s="4" t="n">
        <v>390</v>
      </c>
      <c r="D368" s="4" t="s">
        <v>35</v>
      </c>
      <c r="E368" s="9" t="n">
        <v>0.307</v>
      </c>
      <c r="F368" s="4" t="n">
        <v>0</v>
      </c>
      <c r="G368" s="4" t="n">
        <f aca="false">IF(E368&gt;0.5,1,0)</f>
        <v>0</v>
      </c>
      <c r="H368" s="4" t="str">
        <f aca="false">IF(G368=F368,"match","mismatch")</f>
        <v>match</v>
      </c>
    </row>
    <row r="369" customFormat="false" ht="15" hidden="false" customHeight="false" outlineLevel="0" collapsed="false">
      <c r="A369" s="8" t="s">
        <v>38</v>
      </c>
      <c r="B369" s="4" t="s">
        <v>39</v>
      </c>
      <c r="C369" s="4" t="n">
        <v>391</v>
      </c>
      <c r="D369" s="4" t="s">
        <v>30</v>
      </c>
      <c r="E369" s="9" t="n">
        <v>0.113</v>
      </c>
      <c r="F369" s="4" t="n">
        <v>0</v>
      </c>
      <c r="G369" s="4" t="n">
        <f aca="false">IF(E369&gt;0.5,1,0)</f>
        <v>0</v>
      </c>
      <c r="H369" s="4" t="str">
        <f aca="false">IF(G369=F369,"match","mismatch")</f>
        <v>match</v>
      </c>
    </row>
    <row r="370" customFormat="false" ht="15" hidden="false" customHeight="false" outlineLevel="0" collapsed="false">
      <c r="A370" s="8" t="s">
        <v>38</v>
      </c>
      <c r="B370" s="4" t="s">
        <v>39</v>
      </c>
      <c r="C370" s="4" t="n">
        <v>392</v>
      </c>
      <c r="D370" s="4" t="s">
        <v>32</v>
      </c>
      <c r="E370" s="9" t="n">
        <v>0.194</v>
      </c>
      <c r="F370" s="4" t="n">
        <v>0</v>
      </c>
      <c r="G370" s="4" t="n">
        <f aca="false">IF(E370&gt;0.5,1,0)</f>
        <v>0</v>
      </c>
      <c r="H370" s="4" t="str">
        <f aca="false">IF(G370=F370,"match","mismatch")</f>
        <v>match</v>
      </c>
    </row>
    <row r="371" customFormat="false" ht="15" hidden="false" customHeight="false" outlineLevel="0" collapsed="false">
      <c r="A371" s="8" t="s">
        <v>38</v>
      </c>
      <c r="B371" s="4" t="s">
        <v>39</v>
      </c>
      <c r="C371" s="4" t="n">
        <v>393</v>
      </c>
      <c r="D371" s="4" t="s">
        <v>30</v>
      </c>
      <c r="E371" s="9" t="n">
        <v>0.009</v>
      </c>
      <c r="F371" s="4" t="n">
        <v>0</v>
      </c>
      <c r="G371" s="4" t="n">
        <f aca="false">IF(E371&gt;0.5,1,0)</f>
        <v>0</v>
      </c>
      <c r="H371" s="4" t="str">
        <f aca="false">IF(G371=F371,"match","mismatch")</f>
        <v>match</v>
      </c>
    </row>
    <row r="372" customFormat="false" ht="15" hidden="false" customHeight="false" outlineLevel="0" collapsed="false">
      <c r="A372" s="8" t="s">
        <v>38</v>
      </c>
      <c r="B372" s="4" t="s">
        <v>39</v>
      </c>
      <c r="C372" s="4" t="n">
        <v>394</v>
      </c>
      <c r="D372" s="4" t="s">
        <v>27</v>
      </c>
      <c r="E372" s="9" t="n">
        <v>0.045</v>
      </c>
      <c r="F372" s="4" t="n">
        <v>0</v>
      </c>
      <c r="G372" s="4" t="n">
        <f aca="false">IF(E372&gt;0.5,1,0)</f>
        <v>0</v>
      </c>
      <c r="H372" s="4" t="str">
        <f aca="false">IF(G372=F372,"match","mismatch")</f>
        <v>match</v>
      </c>
    </row>
    <row r="373" customFormat="false" ht="15" hidden="false" customHeight="false" outlineLevel="0" collapsed="false">
      <c r="A373" s="8" t="s">
        <v>38</v>
      </c>
      <c r="B373" s="4" t="s">
        <v>39</v>
      </c>
      <c r="C373" s="4" t="n">
        <v>395</v>
      </c>
      <c r="D373" s="4" t="s">
        <v>29</v>
      </c>
      <c r="E373" s="9" t="n">
        <v>0.043</v>
      </c>
      <c r="F373" s="4" t="n">
        <v>0</v>
      </c>
      <c r="G373" s="4" t="n">
        <f aca="false">IF(E373&gt;0.5,1,0)</f>
        <v>0</v>
      </c>
      <c r="H373" s="4" t="str">
        <f aca="false">IF(G373=F373,"match","mismatch")</f>
        <v>match</v>
      </c>
    </row>
    <row r="374" customFormat="false" ht="15" hidden="false" customHeight="false" outlineLevel="0" collapsed="false">
      <c r="A374" s="8" t="s">
        <v>38</v>
      </c>
      <c r="B374" s="4" t="s">
        <v>39</v>
      </c>
      <c r="C374" s="4" t="n">
        <v>396</v>
      </c>
      <c r="D374" s="4" t="s">
        <v>37</v>
      </c>
      <c r="E374" s="9" t="n">
        <v>0.028</v>
      </c>
      <c r="F374" s="4" t="n">
        <v>0</v>
      </c>
      <c r="G374" s="4" t="n">
        <f aca="false">IF(E374&gt;0.5,1,0)</f>
        <v>0</v>
      </c>
      <c r="H374" s="4" t="str">
        <f aca="false">IF(G374=F374,"match","mismatch")</f>
        <v>match</v>
      </c>
    </row>
    <row r="375" customFormat="false" ht="15" hidden="false" customHeight="false" outlineLevel="0" collapsed="false">
      <c r="A375" s="8" t="s">
        <v>38</v>
      </c>
      <c r="B375" s="4" t="s">
        <v>39</v>
      </c>
      <c r="C375" s="4" t="n">
        <v>397</v>
      </c>
      <c r="D375" s="4" t="s">
        <v>30</v>
      </c>
      <c r="E375" s="9" t="n">
        <v>0.017</v>
      </c>
      <c r="F375" s="4" t="n">
        <v>0</v>
      </c>
      <c r="G375" s="4" t="n">
        <f aca="false">IF(E375&gt;0.5,1,0)</f>
        <v>0</v>
      </c>
      <c r="H375" s="4" t="str">
        <f aca="false">IF(G375=F375,"match","mismatch")</f>
        <v>match</v>
      </c>
    </row>
    <row r="376" customFormat="false" ht="15" hidden="false" customHeight="false" outlineLevel="0" collapsed="false">
      <c r="A376" s="8" t="s">
        <v>38</v>
      </c>
      <c r="B376" s="4" t="s">
        <v>39</v>
      </c>
      <c r="C376" s="4" t="n">
        <v>398</v>
      </c>
      <c r="D376" s="4" t="s">
        <v>31</v>
      </c>
      <c r="E376" s="9" t="n">
        <v>0.023</v>
      </c>
      <c r="F376" s="4" t="n">
        <v>0</v>
      </c>
      <c r="G376" s="4" t="n">
        <f aca="false">IF(E376&gt;0.5,1,0)</f>
        <v>0</v>
      </c>
      <c r="H376" s="4" t="str">
        <f aca="false">IF(G376=F376,"match","mismatch")</f>
        <v>match</v>
      </c>
    </row>
    <row r="377" customFormat="false" ht="15" hidden="false" customHeight="false" outlineLevel="0" collapsed="false">
      <c r="A377" s="8" t="s">
        <v>38</v>
      </c>
      <c r="B377" s="4" t="s">
        <v>39</v>
      </c>
      <c r="C377" s="4" t="n">
        <v>399</v>
      </c>
      <c r="D377" s="4" t="s">
        <v>32</v>
      </c>
      <c r="E377" s="9" t="n">
        <v>0.015</v>
      </c>
      <c r="F377" s="4" t="n">
        <v>0</v>
      </c>
      <c r="G377" s="4" t="n">
        <f aca="false">IF(E377&gt;0.5,1,0)</f>
        <v>0</v>
      </c>
      <c r="H377" s="4" t="str">
        <f aca="false">IF(G377=F377,"match","mismatch")</f>
        <v>match</v>
      </c>
    </row>
    <row r="378" customFormat="false" ht="15" hidden="false" customHeight="false" outlineLevel="0" collapsed="false">
      <c r="A378" s="8" t="s">
        <v>38</v>
      </c>
      <c r="B378" s="4" t="s">
        <v>39</v>
      </c>
      <c r="C378" s="4" t="n">
        <v>400</v>
      </c>
      <c r="D378" s="4" t="s">
        <v>27</v>
      </c>
      <c r="E378" s="9" t="n">
        <v>0.036</v>
      </c>
      <c r="F378" s="4" t="n">
        <v>0</v>
      </c>
      <c r="G378" s="4" t="n">
        <f aca="false">IF(E378&gt;0.5,1,0)</f>
        <v>0</v>
      </c>
      <c r="H378" s="4" t="str">
        <f aca="false">IF(G378=F378,"match","mismatch")</f>
        <v>match</v>
      </c>
    </row>
    <row r="379" customFormat="false" ht="15" hidden="false" customHeight="false" outlineLevel="0" collapsed="false">
      <c r="A379" s="8" t="s">
        <v>38</v>
      </c>
      <c r="B379" s="4" t="s">
        <v>39</v>
      </c>
      <c r="C379" s="4" t="n">
        <v>401</v>
      </c>
      <c r="D379" s="4" t="s">
        <v>31</v>
      </c>
      <c r="E379" s="9" t="n">
        <v>0.015</v>
      </c>
      <c r="F379" s="4" t="n">
        <v>0</v>
      </c>
      <c r="G379" s="4" t="n">
        <f aca="false">IF(E379&gt;0.5,1,0)</f>
        <v>0</v>
      </c>
      <c r="H379" s="4" t="str">
        <f aca="false">IF(G379=F379,"match","mismatch")</f>
        <v>match</v>
      </c>
    </row>
    <row r="380" customFormat="false" ht="15" hidden="false" customHeight="false" outlineLevel="0" collapsed="false">
      <c r="A380" s="8" t="s">
        <v>38</v>
      </c>
      <c r="B380" s="4" t="s">
        <v>39</v>
      </c>
      <c r="C380" s="4" t="n">
        <v>402</v>
      </c>
      <c r="D380" s="4" t="s">
        <v>33</v>
      </c>
      <c r="E380" s="9" t="n">
        <v>0.037</v>
      </c>
      <c r="F380" s="4" t="n">
        <v>0</v>
      </c>
      <c r="G380" s="4" t="n">
        <f aca="false">IF(E380&gt;0.5,1,0)</f>
        <v>0</v>
      </c>
      <c r="H380" s="4" t="str">
        <f aca="false">IF(G380=F380,"match","mismatch")</f>
        <v>match</v>
      </c>
    </row>
    <row r="381" customFormat="false" ht="15" hidden="false" customHeight="false" outlineLevel="0" collapsed="false">
      <c r="A381" s="8" t="s">
        <v>38</v>
      </c>
      <c r="B381" s="4" t="s">
        <v>39</v>
      </c>
      <c r="C381" s="4" t="n">
        <v>403</v>
      </c>
      <c r="D381" s="4" t="s">
        <v>46</v>
      </c>
      <c r="E381" s="9" t="n">
        <v>0.011</v>
      </c>
      <c r="F381" s="4" t="n">
        <v>0</v>
      </c>
      <c r="G381" s="4" t="n">
        <f aca="false">IF(E381&gt;0.5,1,0)</f>
        <v>0</v>
      </c>
      <c r="H381" s="4" t="str">
        <f aca="false">IF(G381=F381,"match","mismatch")</f>
        <v>match</v>
      </c>
    </row>
    <row r="382" customFormat="false" ht="15" hidden="false" customHeight="false" outlineLevel="0" collapsed="false">
      <c r="A382" s="8" t="s">
        <v>38</v>
      </c>
      <c r="B382" s="4" t="s">
        <v>39</v>
      </c>
      <c r="C382" s="4" t="n">
        <v>404</v>
      </c>
      <c r="D382" s="4" t="s">
        <v>46</v>
      </c>
      <c r="E382" s="9" t="n">
        <v>0.018</v>
      </c>
      <c r="F382" s="4" t="n">
        <v>0</v>
      </c>
      <c r="G382" s="4" t="n">
        <f aca="false">IF(E382&gt;0.5,1,0)</f>
        <v>0</v>
      </c>
      <c r="H382" s="4" t="str">
        <f aca="false">IF(G382=F382,"match","mismatch")</f>
        <v>match</v>
      </c>
    </row>
    <row r="383" customFormat="false" ht="15" hidden="false" customHeight="false" outlineLevel="0" collapsed="false">
      <c r="A383" s="8" t="s">
        <v>38</v>
      </c>
      <c r="B383" s="4" t="s">
        <v>39</v>
      </c>
      <c r="C383" s="4" t="n">
        <v>405</v>
      </c>
      <c r="D383" s="4" t="s">
        <v>25</v>
      </c>
      <c r="E383" s="9" t="n">
        <v>0.032</v>
      </c>
      <c r="F383" s="4" t="n">
        <v>0</v>
      </c>
      <c r="G383" s="4" t="n">
        <f aca="false">IF(E383&gt;0.5,1,0)</f>
        <v>0</v>
      </c>
      <c r="H383" s="4" t="str">
        <f aca="false">IF(G383=F383,"match","mismatch")</f>
        <v>match</v>
      </c>
    </row>
    <row r="384" customFormat="false" ht="15" hidden="false" customHeight="false" outlineLevel="0" collapsed="false">
      <c r="A384" s="8" t="s">
        <v>38</v>
      </c>
      <c r="B384" s="4" t="s">
        <v>39</v>
      </c>
      <c r="C384" s="4" t="n">
        <v>406</v>
      </c>
      <c r="D384" s="4" t="s">
        <v>25</v>
      </c>
      <c r="E384" s="9" t="n">
        <v>0.065</v>
      </c>
      <c r="F384" s="4" t="n">
        <v>0</v>
      </c>
      <c r="G384" s="4" t="n">
        <f aca="false">IF(E384&gt;0.5,1,0)</f>
        <v>0</v>
      </c>
      <c r="H384" s="4" t="str">
        <f aca="false">IF(G384=F384,"match","mismatch")</f>
        <v>match</v>
      </c>
    </row>
    <row r="385" customFormat="false" ht="15" hidden="false" customHeight="false" outlineLevel="0" collapsed="false">
      <c r="A385" s="8" t="s">
        <v>38</v>
      </c>
      <c r="B385" s="4" t="s">
        <v>39</v>
      </c>
      <c r="C385" s="4" t="n">
        <v>407</v>
      </c>
      <c r="D385" s="4" t="s">
        <v>23</v>
      </c>
      <c r="E385" s="9" t="n">
        <v>0.135</v>
      </c>
      <c r="F385" s="4" t="n">
        <v>0</v>
      </c>
      <c r="G385" s="4" t="n">
        <f aca="false">IF(E385&gt;0.5,1,0)</f>
        <v>0</v>
      </c>
      <c r="H385" s="4" t="str">
        <f aca="false">IF(G385=F385,"match","mismatch")</f>
        <v>match</v>
      </c>
    </row>
    <row r="386" customFormat="false" ht="15" hidden="false" customHeight="false" outlineLevel="0" collapsed="false">
      <c r="A386" s="8" t="s">
        <v>38</v>
      </c>
      <c r="B386" s="4" t="s">
        <v>39</v>
      </c>
      <c r="C386" s="4" t="n">
        <v>408</v>
      </c>
      <c r="D386" s="4" t="s">
        <v>36</v>
      </c>
      <c r="E386" s="9" t="n">
        <v>0.161</v>
      </c>
      <c r="F386" s="4" t="n">
        <v>0</v>
      </c>
      <c r="G386" s="4" t="n">
        <f aca="false">IF(E386&gt;0.5,1,0)</f>
        <v>0</v>
      </c>
      <c r="H386" s="4" t="str">
        <f aca="false">IF(G386=F386,"match","mismatch")</f>
        <v>match</v>
      </c>
    </row>
    <row r="387" customFormat="false" ht="15" hidden="false" customHeight="false" outlineLevel="0" collapsed="false">
      <c r="A387" s="8" t="s">
        <v>38</v>
      </c>
      <c r="B387" s="4" t="s">
        <v>39</v>
      </c>
      <c r="C387" s="4" t="n">
        <v>409</v>
      </c>
      <c r="D387" s="4" t="s">
        <v>41</v>
      </c>
      <c r="E387" s="9" t="n">
        <v>0.682</v>
      </c>
      <c r="F387" s="4" t="n">
        <v>0</v>
      </c>
      <c r="G387" s="4" t="n">
        <f aca="false">IF(E387&gt;0.5,1,0)</f>
        <v>1</v>
      </c>
      <c r="H387" s="4" t="str">
        <f aca="false">IF(G387=F387,"match","mismatch")</f>
        <v>mismatch</v>
      </c>
    </row>
    <row r="388" customFormat="false" ht="15" hidden="false" customHeight="false" outlineLevel="0" collapsed="false">
      <c r="A388" s="8" t="s">
        <v>38</v>
      </c>
      <c r="B388" s="4" t="s">
        <v>39</v>
      </c>
      <c r="C388" s="4" t="n">
        <v>410</v>
      </c>
      <c r="D388" s="4" t="s">
        <v>33</v>
      </c>
      <c r="E388" s="9" t="n">
        <v>0.199</v>
      </c>
      <c r="F388" s="4" t="n">
        <v>0</v>
      </c>
      <c r="G388" s="4" t="n">
        <f aca="false">IF(E388&gt;0.5,1,0)</f>
        <v>0</v>
      </c>
      <c r="H388" s="4" t="str">
        <f aca="false">IF(G388=F388,"match","mismatch")</f>
        <v>match</v>
      </c>
    </row>
    <row r="389" customFormat="false" ht="15" hidden="false" customHeight="false" outlineLevel="0" collapsed="false">
      <c r="A389" s="8" t="s">
        <v>38</v>
      </c>
      <c r="B389" s="4" t="s">
        <v>39</v>
      </c>
      <c r="C389" s="4" t="n">
        <v>411</v>
      </c>
      <c r="D389" s="4" t="s">
        <v>37</v>
      </c>
      <c r="E389" s="9" t="n">
        <v>0.385</v>
      </c>
      <c r="F389" s="4" t="n">
        <v>0</v>
      </c>
      <c r="G389" s="4" t="n">
        <f aca="false">IF(E389&gt;0.5,1,0)</f>
        <v>0</v>
      </c>
      <c r="H389" s="4" t="str">
        <f aca="false">IF(G389=F389,"match","mismatch")</f>
        <v>match</v>
      </c>
    </row>
    <row r="390" customFormat="false" ht="15" hidden="false" customHeight="false" outlineLevel="0" collapsed="false">
      <c r="A390" s="8" t="s">
        <v>38</v>
      </c>
      <c r="B390" s="4" t="s">
        <v>39</v>
      </c>
      <c r="C390" s="4" t="n">
        <v>412</v>
      </c>
      <c r="D390" s="4" t="s">
        <v>30</v>
      </c>
      <c r="E390" s="9" t="n">
        <v>0.624</v>
      </c>
      <c r="F390" s="4" t="n">
        <v>0</v>
      </c>
      <c r="G390" s="4" t="n">
        <f aca="false">IF(E390&gt;0.5,1,0)</f>
        <v>1</v>
      </c>
      <c r="H390" s="4" t="str">
        <f aca="false">IF(G390=F390,"match","mismatch")</f>
        <v>mismatch</v>
      </c>
    </row>
    <row r="391" customFormat="false" ht="15" hidden="false" customHeight="false" outlineLevel="0" collapsed="false">
      <c r="A391" s="8" t="s">
        <v>38</v>
      </c>
      <c r="B391" s="4" t="s">
        <v>39</v>
      </c>
      <c r="C391" s="4" t="n">
        <v>413</v>
      </c>
      <c r="D391" s="4" t="s">
        <v>42</v>
      </c>
      <c r="E391" s="9" t="n">
        <v>0.057</v>
      </c>
      <c r="F391" s="4" t="n">
        <v>0</v>
      </c>
      <c r="G391" s="4" t="n">
        <f aca="false">IF(E391&gt;0.5,1,0)</f>
        <v>0</v>
      </c>
      <c r="H391" s="4" t="str">
        <f aca="false">IF(G391=F391,"match","mismatch")</f>
        <v>match</v>
      </c>
    </row>
    <row r="392" customFormat="false" ht="15" hidden="false" customHeight="false" outlineLevel="0" collapsed="false">
      <c r="A392" s="8" t="s">
        <v>38</v>
      </c>
      <c r="B392" s="4" t="s">
        <v>39</v>
      </c>
      <c r="C392" s="4" t="n">
        <v>414</v>
      </c>
      <c r="D392" s="4" t="s">
        <v>24</v>
      </c>
      <c r="E392" s="9" t="n">
        <v>0.034</v>
      </c>
      <c r="F392" s="4" t="n">
        <v>0</v>
      </c>
      <c r="G392" s="4" t="n">
        <f aca="false">IF(E392&gt;0.5,1,0)</f>
        <v>0</v>
      </c>
      <c r="H392" s="4" t="str">
        <f aca="false">IF(G392=F392,"match","mismatch")</f>
        <v>match</v>
      </c>
    </row>
    <row r="393" customFormat="false" ht="15" hidden="false" customHeight="false" outlineLevel="0" collapsed="false">
      <c r="A393" s="8" t="s">
        <v>38</v>
      </c>
      <c r="B393" s="4" t="s">
        <v>39</v>
      </c>
      <c r="C393" s="4" t="n">
        <v>415</v>
      </c>
      <c r="D393" s="4" t="s">
        <v>44</v>
      </c>
      <c r="E393" s="9" t="n">
        <v>0.021</v>
      </c>
      <c r="F393" s="4" t="n">
        <v>0</v>
      </c>
      <c r="G393" s="4" t="n">
        <f aca="false">IF(E393&gt;0.5,1,0)</f>
        <v>0</v>
      </c>
      <c r="H393" s="4" t="str">
        <f aca="false">IF(G393=F393,"match","mismatch")</f>
        <v>match</v>
      </c>
    </row>
    <row r="394" customFormat="false" ht="15" hidden="false" customHeight="false" outlineLevel="0" collapsed="false">
      <c r="A394" s="8" t="s">
        <v>38</v>
      </c>
      <c r="B394" s="4" t="s">
        <v>39</v>
      </c>
      <c r="C394" s="4" t="n">
        <v>416</v>
      </c>
      <c r="D394" s="4" t="s">
        <v>40</v>
      </c>
      <c r="E394" s="9" t="n">
        <v>0.013</v>
      </c>
      <c r="F394" s="4" t="n">
        <v>0</v>
      </c>
      <c r="G394" s="4" t="n">
        <f aca="false">IF(E394&gt;0.5,1,0)</f>
        <v>0</v>
      </c>
      <c r="H394" s="4" t="str">
        <f aca="false">IF(G394=F394,"match","mismatch")</f>
        <v>match</v>
      </c>
    </row>
    <row r="395" customFormat="false" ht="15" hidden="false" customHeight="false" outlineLevel="0" collapsed="false">
      <c r="A395" s="8" t="s">
        <v>38</v>
      </c>
      <c r="B395" s="4" t="s">
        <v>39</v>
      </c>
      <c r="C395" s="4" t="n">
        <v>417</v>
      </c>
      <c r="D395" s="4" t="s">
        <v>32</v>
      </c>
      <c r="E395" s="9" t="n">
        <v>0.005</v>
      </c>
      <c r="F395" s="4" t="n">
        <v>0</v>
      </c>
      <c r="G395" s="4" t="n">
        <f aca="false">IF(E395&gt;0.5,1,0)</f>
        <v>0</v>
      </c>
      <c r="H395" s="4" t="str">
        <f aca="false">IF(G395=F395,"match","mismatch")</f>
        <v>match</v>
      </c>
    </row>
    <row r="396" customFormat="false" ht="15" hidden="false" customHeight="false" outlineLevel="0" collapsed="false">
      <c r="A396" s="8" t="s">
        <v>38</v>
      </c>
      <c r="B396" s="4" t="s">
        <v>39</v>
      </c>
      <c r="C396" s="4" t="n">
        <v>418</v>
      </c>
      <c r="D396" s="4" t="s">
        <v>36</v>
      </c>
      <c r="E396" s="9" t="n">
        <v>0.022</v>
      </c>
      <c r="F396" s="4" t="n">
        <v>0</v>
      </c>
      <c r="G396" s="4" t="n">
        <f aca="false">IF(E396&gt;0.5,1,0)</f>
        <v>0</v>
      </c>
      <c r="H396" s="4" t="str">
        <f aca="false">IF(G396=F396,"match","mismatch")</f>
        <v>match</v>
      </c>
    </row>
    <row r="397" customFormat="false" ht="15" hidden="false" customHeight="false" outlineLevel="0" collapsed="false">
      <c r="A397" s="8" t="s">
        <v>38</v>
      </c>
      <c r="B397" s="4" t="s">
        <v>39</v>
      </c>
      <c r="C397" s="4" t="n">
        <v>419</v>
      </c>
      <c r="D397" s="4" t="s">
        <v>32</v>
      </c>
      <c r="E397" s="9" t="n">
        <v>0.086</v>
      </c>
      <c r="F397" s="4" t="n">
        <v>0</v>
      </c>
      <c r="G397" s="4" t="n">
        <f aca="false">IF(E397&gt;0.5,1,0)</f>
        <v>0</v>
      </c>
      <c r="H397" s="4" t="str">
        <f aca="false">IF(G397=F397,"match","mismatch")</f>
        <v>match</v>
      </c>
    </row>
    <row r="398" customFormat="false" ht="15" hidden="false" customHeight="false" outlineLevel="0" collapsed="false">
      <c r="A398" s="8" t="s">
        <v>38</v>
      </c>
      <c r="B398" s="4" t="s">
        <v>39</v>
      </c>
      <c r="C398" s="4" t="n">
        <v>420</v>
      </c>
      <c r="D398" s="4" t="s">
        <v>23</v>
      </c>
      <c r="E398" s="9" t="n">
        <v>0.104</v>
      </c>
      <c r="F398" s="4" t="n">
        <v>0</v>
      </c>
      <c r="G398" s="4" t="n">
        <f aca="false">IF(E398&gt;0.5,1,0)</f>
        <v>0</v>
      </c>
      <c r="H398" s="4" t="str">
        <f aca="false">IF(G398=F398,"match","mismatch")</f>
        <v>match</v>
      </c>
    </row>
    <row r="399" customFormat="false" ht="15" hidden="false" customHeight="false" outlineLevel="0" collapsed="false">
      <c r="A399" s="8" t="s">
        <v>38</v>
      </c>
      <c r="B399" s="4" t="s">
        <v>39</v>
      </c>
      <c r="C399" s="4" t="n">
        <v>421</v>
      </c>
      <c r="D399" s="4" t="s">
        <v>27</v>
      </c>
      <c r="E399" s="9" t="n">
        <v>0.014</v>
      </c>
      <c r="F399" s="4" t="n">
        <v>0</v>
      </c>
      <c r="G399" s="4" t="n">
        <f aca="false">IF(E399&gt;0.5,1,0)</f>
        <v>0</v>
      </c>
      <c r="H399" s="4" t="str">
        <f aca="false">IF(G399=F399,"match","mismatch")</f>
        <v>match</v>
      </c>
    </row>
    <row r="400" customFormat="false" ht="15" hidden="false" customHeight="false" outlineLevel="0" collapsed="false">
      <c r="A400" s="8" t="s">
        <v>38</v>
      </c>
      <c r="B400" s="4" t="s">
        <v>39</v>
      </c>
      <c r="C400" s="4" t="n">
        <v>422</v>
      </c>
      <c r="D400" s="4" t="s">
        <v>31</v>
      </c>
      <c r="E400" s="9" t="n">
        <v>0.015</v>
      </c>
      <c r="F400" s="4" t="n">
        <v>0</v>
      </c>
      <c r="G400" s="4" t="n">
        <f aca="false">IF(E400&gt;0.5,1,0)</f>
        <v>0</v>
      </c>
      <c r="H400" s="4" t="str">
        <f aca="false">IF(G400=F400,"match","mismatch")</f>
        <v>match</v>
      </c>
    </row>
    <row r="401" customFormat="false" ht="15" hidden="false" customHeight="false" outlineLevel="0" collapsed="false">
      <c r="A401" s="8" t="s">
        <v>38</v>
      </c>
      <c r="B401" s="4" t="s">
        <v>39</v>
      </c>
      <c r="C401" s="4" t="n">
        <v>423</v>
      </c>
      <c r="D401" s="4" t="s">
        <v>40</v>
      </c>
      <c r="E401" s="9" t="n">
        <v>0.005</v>
      </c>
      <c r="F401" s="4" t="n">
        <v>0</v>
      </c>
      <c r="G401" s="4" t="n">
        <f aca="false">IF(E401&gt;0.5,1,0)</f>
        <v>0</v>
      </c>
      <c r="H401" s="4" t="str">
        <f aca="false">IF(G401=F401,"match","mismatch")</f>
        <v>match</v>
      </c>
    </row>
    <row r="402" customFormat="false" ht="15" hidden="false" customHeight="false" outlineLevel="0" collapsed="false">
      <c r="A402" s="8" t="s">
        <v>38</v>
      </c>
      <c r="B402" s="4" t="s">
        <v>39</v>
      </c>
      <c r="C402" s="4" t="n">
        <v>424</v>
      </c>
      <c r="D402" s="4" t="s">
        <v>27</v>
      </c>
      <c r="E402" s="9" t="n">
        <v>0.006</v>
      </c>
      <c r="F402" s="4" t="n">
        <v>0</v>
      </c>
      <c r="G402" s="4" t="n">
        <f aca="false">IF(E402&gt;0.5,1,0)</f>
        <v>0</v>
      </c>
      <c r="H402" s="4" t="str">
        <f aca="false">IF(G402=F402,"match","mismatch")</f>
        <v>match</v>
      </c>
    </row>
    <row r="403" customFormat="false" ht="15" hidden="false" customHeight="false" outlineLevel="0" collapsed="false">
      <c r="A403" s="8" t="s">
        <v>38</v>
      </c>
      <c r="B403" s="4" t="s">
        <v>39</v>
      </c>
      <c r="C403" s="4" t="n">
        <v>425</v>
      </c>
      <c r="D403" s="4" t="s">
        <v>41</v>
      </c>
      <c r="E403" s="9" t="n">
        <v>0.007</v>
      </c>
      <c r="F403" s="4" t="n">
        <v>0</v>
      </c>
      <c r="G403" s="4" t="n">
        <f aca="false">IF(E403&gt;0.5,1,0)</f>
        <v>0</v>
      </c>
      <c r="H403" s="4" t="str">
        <f aca="false">IF(G403=F403,"match","mismatch")</f>
        <v>match</v>
      </c>
    </row>
    <row r="404" customFormat="false" ht="15" hidden="false" customHeight="false" outlineLevel="0" collapsed="false">
      <c r="A404" s="8" t="s">
        <v>38</v>
      </c>
      <c r="B404" s="4" t="s">
        <v>39</v>
      </c>
      <c r="C404" s="4" t="n">
        <v>426</v>
      </c>
      <c r="D404" s="4" t="s">
        <v>33</v>
      </c>
      <c r="E404" s="9" t="n">
        <v>0.003</v>
      </c>
      <c r="F404" s="4" t="n">
        <v>0</v>
      </c>
      <c r="G404" s="4" t="n">
        <f aca="false">IF(E404&gt;0.5,1,0)</f>
        <v>0</v>
      </c>
      <c r="H404" s="4" t="str">
        <f aca="false">IF(G404=F404,"match","mismatch")</f>
        <v>match</v>
      </c>
    </row>
    <row r="405" customFormat="false" ht="15" hidden="false" customHeight="false" outlineLevel="0" collapsed="false">
      <c r="A405" s="8" t="s">
        <v>38</v>
      </c>
      <c r="B405" s="4" t="s">
        <v>39</v>
      </c>
      <c r="C405" s="4" t="n">
        <v>427</v>
      </c>
      <c r="D405" s="4" t="s">
        <v>31</v>
      </c>
      <c r="E405" s="9" t="n">
        <v>0.003</v>
      </c>
      <c r="F405" s="4" t="n">
        <v>0</v>
      </c>
      <c r="G405" s="4" t="n">
        <f aca="false">IF(E405&gt;0.5,1,0)</f>
        <v>0</v>
      </c>
      <c r="H405" s="4" t="str">
        <f aca="false">IF(G405=F405,"match","mismatch")</f>
        <v>match</v>
      </c>
    </row>
    <row r="406" customFormat="false" ht="15" hidden="false" customHeight="false" outlineLevel="0" collapsed="false">
      <c r="A406" s="8" t="s">
        <v>38</v>
      </c>
      <c r="B406" s="4" t="s">
        <v>39</v>
      </c>
      <c r="C406" s="4" t="n">
        <v>428</v>
      </c>
      <c r="D406" s="4" t="s">
        <v>25</v>
      </c>
      <c r="E406" s="9" t="n">
        <v>0.002</v>
      </c>
      <c r="F406" s="4" t="n">
        <v>0</v>
      </c>
      <c r="G406" s="4" t="n">
        <f aca="false">IF(E406&gt;0.5,1,0)</f>
        <v>0</v>
      </c>
      <c r="H406" s="4" t="str">
        <f aca="false">IF(G406=F406,"match","mismatch")</f>
        <v>match</v>
      </c>
    </row>
    <row r="407" customFormat="false" ht="15" hidden="false" customHeight="false" outlineLevel="0" collapsed="false">
      <c r="A407" s="8" t="s">
        <v>38</v>
      </c>
      <c r="B407" s="4" t="s">
        <v>39</v>
      </c>
      <c r="C407" s="4" t="n">
        <v>429</v>
      </c>
      <c r="D407" s="4" t="s">
        <v>26</v>
      </c>
      <c r="E407" s="9" t="n">
        <v>0.003</v>
      </c>
      <c r="F407" s="4" t="n">
        <v>0</v>
      </c>
      <c r="G407" s="4" t="n">
        <f aca="false">IF(E407&gt;0.5,1,0)</f>
        <v>0</v>
      </c>
      <c r="H407" s="4" t="str">
        <f aca="false">IF(G407=F407,"match","mismatch")</f>
        <v>match</v>
      </c>
    </row>
    <row r="408" customFormat="false" ht="15" hidden="false" customHeight="false" outlineLevel="0" collapsed="false">
      <c r="A408" s="8" t="s">
        <v>38</v>
      </c>
      <c r="B408" s="4" t="s">
        <v>39</v>
      </c>
      <c r="C408" s="4" t="n">
        <v>430</v>
      </c>
      <c r="D408" s="4" t="s">
        <v>31</v>
      </c>
      <c r="E408" s="9" t="n">
        <v>0.004</v>
      </c>
      <c r="F408" s="4" t="n">
        <v>0</v>
      </c>
      <c r="G408" s="4" t="n">
        <f aca="false">IF(E408&gt;0.5,1,0)</f>
        <v>0</v>
      </c>
      <c r="H408" s="4" t="str">
        <f aca="false">IF(G408=F408,"match","mismatch")</f>
        <v>match</v>
      </c>
    </row>
    <row r="409" customFormat="false" ht="15" hidden="false" customHeight="false" outlineLevel="0" collapsed="false">
      <c r="A409" s="8" t="s">
        <v>38</v>
      </c>
      <c r="B409" s="4" t="s">
        <v>39</v>
      </c>
      <c r="C409" s="4" t="n">
        <v>431</v>
      </c>
      <c r="D409" s="4" t="s">
        <v>30</v>
      </c>
      <c r="E409" s="9" t="n">
        <v>0.002</v>
      </c>
      <c r="F409" s="4" t="n">
        <v>0</v>
      </c>
      <c r="G409" s="4" t="n">
        <f aca="false">IF(E409&gt;0.5,1,0)</f>
        <v>0</v>
      </c>
      <c r="H409" s="4" t="str">
        <f aca="false">IF(G409=F409,"match","mismatch")</f>
        <v>match</v>
      </c>
    </row>
    <row r="410" customFormat="false" ht="15" hidden="false" customHeight="false" outlineLevel="0" collapsed="false">
      <c r="A410" s="8" t="s">
        <v>38</v>
      </c>
      <c r="B410" s="4" t="s">
        <v>39</v>
      </c>
      <c r="C410" s="4" t="n">
        <v>432</v>
      </c>
      <c r="D410" s="4" t="s">
        <v>36</v>
      </c>
      <c r="E410" s="9" t="n">
        <v>0.006</v>
      </c>
      <c r="F410" s="4" t="n">
        <v>0</v>
      </c>
      <c r="G410" s="4" t="n">
        <f aca="false">IF(E410&gt;0.5,1,0)</f>
        <v>0</v>
      </c>
      <c r="H410" s="4" t="str">
        <f aca="false">IF(G410=F410,"match","mismatch")</f>
        <v>match</v>
      </c>
    </row>
    <row r="411" customFormat="false" ht="15" hidden="false" customHeight="false" outlineLevel="0" collapsed="false">
      <c r="A411" s="8" t="s">
        <v>38</v>
      </c>
      <c r="B411" s="4" t="s">
        <v>39</v>
      </c>
      <c r="C411" s="4" t="n">
        <v>433</v>
      </c>
      <c r="D411" s="4" t="s">
        <v>23</v>
      </c>
      <c r="E411" s="9" t="n">
        <v>0.005</v>
      </c>
      <c r="F411" s="4" t="n">
        <v>0</v>
      </c>
      <c r="G411" s="4" t="n">
        <f aca="false">IF(E411&gt;0.5,1,0)</f>
        <v>0</v>
      </c>
      <c r="H411" s="4" t="str">
        <f aca="false">IF(G411=F411,"match","mismatch")</f>
        <v>match</v>
      </c>
    </row>
    <row r="412" customFormat="false" ht="15" hidden="false" customHeight="false" outlineLevel="0" collapsed="false">
      <c r="A412" s="8" t="s">
        <v>38</v>
      </c>
      <c r="B412" s="4" t="s">
        <v>39</v>
      </c>
      <c r="C412" s="4" t="n">
        <v>434</v>
      </c>
      <c r="D412" s="4" t="s">
        <v>24</v>
      </c>
      <c r="E412" s="9" t="n">
        <v>0.002</v>
      </c>
      <c r="F412" s="4" t="n">
        <v>0</v>
      </c>
      <c r="G412" s="4" t="n">
        <f aca="false">IF(E412&gt;0.5,1,0)</f>
        <v>0</v>
      </c>
      <c r="H412" s="4" t="str">
        <f aca="false">IF(G412=F412,"match","mismatch")</f>
        <v>match</v>
      </c>
    </row>
    <row r="413" customFormat="false" ht="15" hidden="false" customHeight="false" outlineLevel="0" collapsed="false">
      <c r="A413" s="8" t="s">
        <v>38</v>
      </c>
      <c r="B413" s="4" t="s">
        <v>39</v>
      </c>
      <c r="C413" s="4" t="n">
        <v>435</v>
      </c>
      <c r="D413" s="4" t="s">
        <v>23</v>
      </c>
      <c r="E413" s="9" t="n">
        <v>0.007</v>
      </c>
      <c r="F413" s="4" t="n">
        <v>0</v>
      </c>
      <c r="G413" s="4" t="n">
        <f aca="false">IF(E413&gt;0.5,1,0)</f>
        <v>0</v>
      </c>
      <c r="H413" s="4" t="str">
        <f aca="false">IF(G413=F413,"match","mismatch")</f>
        <v>match</v>
      </c>
    </row>
    <row r="414" customFormat="false" ht="15" hidden="false" customHeight="false" outlineLevel="0" collapsed="false">
      <c r="A414" s="8" t="s">
        <v>38</v>
      </c>
      <c r="B414" s="4" t="s">
        <v>39</v>
      </c>
      <c r="C414" s="4" t="n">
        <v>436</v>
      </c>
      <c r="D414" s="4" t="s">
        <v>36</v>
      </c>
      <c r="E414" s="9" t="n">
        <v>0.007</v>
      </c>
      <c r="F414" s="4" t="n">
        <v>0</v>
      </c>
      <c r="G414" s="4" t="n">
        <f aca="false">IF(E414&gt;0.5,1,0)</f>
        <v>0</v>
      </c>
      <c r="H414" s="4" t="str">
        <f aca="false">IF(G414=F414,"match","mismatch")</f>
        <v>match</v>
      </c>
    </row>
    <row r="415" customFormat="false" ht="15" hidden="false" customHeight="false" outlineLevel="0" collapsed="false">
      <c r="A415" s="8" t="s">
        <v>38</v>
      </c>
      <c r="B415" s="4" t="s">
        <v>39</v>
      </c>
      <c r="C415" s="4" t="n">
        <v>437</v>
      </c>
      <c r="D415" s="4" t="s">
        <v>23</v>
      </c>
      <c r="E415" s="9" t="n">
        <v>0.003</v>
      </c>
      <c r="F415" s="4" t="n">
        <v>0</v>
      </c>
      <c r="G415" s="4" t="n">
        <f aca="false">IF(E415&gt;0.5,1,0)</f>
        <v>0</v>
      </c>
      <c r="H415" s="4" t="str">
        <f aca="false">IF(G415=F415,"match","mismatch")</f>
        <v>match</v>
      </c>
    </row>
  </sheetData>
  <mergeCells count="2">
    <mergeCell ref="A1:H1"/>
    <mergeCell ref="A2:H2"/>
  </mergeCells>
  <conditionalFormatting sqref="E5:E415">
    <cfRule type="colorScale" priority="2">
      <colorScale>
        <cfvo type="num" val="0"/>
        <cfvo type="num" val="0.5"/>
        <cfvo type="num" val="1"/>
        <color rgb="FF4472C4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2026-10-10T03:54:13Z</dcterms:created>
  <dc:creator>openpyxl</dc:creator>
  <dc:description/>
  <dc:language>en-US</dc:language>
  <cp:lastModifiedBy/>
  <dcterms:modified xsi:type="dcterms:W3CDTF">2026-10-10T03:54:13Z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